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ptop\Downloads\"/>
    </mc:Choice>
  </mc:AlternateContent>
  <xr:revisionPtr revIDLastSave="0" documentId="8_{1E649050-F8CA-489D-94AA-C9283BFA7F04}" xr6:coauthVersionLast="47" xr6:coauthVersionMax="47" xr10:uidLastSave="{00000000-0000-0000-0000-000000000000}"/>
  <bookViews>
    <workbookView xWindow="-120" yWindow="-120" windowWidth="20730" windowHeight="11160" xr2:uid="{C46BEEB8-27C5-4C5F-BB78-F2FF8850CA6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" i="1" l="1"/>
  <c r="B77" i="1"/>
  <c r="B78" i="1"/>
  <c r="B79" i="1"/>
  <c r="B80" i="1"/>
  <c r="B81" i="1"/>
  <c r="B82" i="1"/>
  <c r="B83" i="1"/>
  <c r="B72" i="1"/>
  <c r="B73" i="1"/>
  <c r="B74" i="1"/>
  <c r="B75" i="1"/>
  <c r="B71" i="1"/>
  <c r="B70" i="1"/>
  <c r="B69" i="1"/>
  <c r="B68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H63" i="1"/>
  <c r="I63" i="1"/>
  <c r="G63" i="1"/>
  <c r="E63" i="1"/>
  <c r="F63" i="1"/>
  <c r="D63" i="1"/>
</calcChain>
</file>

<file path=xl/sharedStrings.xml><?xml version="1.0" encoding="utf-8"?>
<sst xmlns="http://schemas.openxmlformats.org/spreadsheetml/2006/main" count="104" uniqueCount="56">
  <si>
    <t>Number of States</t>
  </si>
  <si>
    <t xml:space="preserve">Number of Inputs </t>
  </si>
  <si>
    <t>Number of Outputs</t>
  </si>
  <si>
    <t xml:space="preserve">Module Name </t>
  </si>
  <si>
    <t>fsm_ex1</t>
  </si>
  <si>
    <t xml:space="preserve">State Name </t>
  </si>
  <si>
    <t>Current_State</t>
  </si>
  <si>
    <t>Next_State</t>
  </si>
  <si>
    <t xml:space="preserve"> </t>
  </si>
  <si>
    <t xml:space="preserve"> Input </t>
  </si>
  <si>
    <t>Sr No</t>
  </si>
  <si>
    <t>State_1</t>
  </si>
  <si>
    <t>State_2</t>
  </si>
  <si>
    <t>State_3</t>
  </si>
  <si>
    <t>Idle</t>
  </si>
  <si>
    <t>State  Diagram</t>
  </si>
  <si>
    <t>b</t>
  </si>
  <si>
    <t>c</t>
  </si>
  <si>
    <t>d</t>
  </si>
  <si>
    <t>Inputs Name</t>
  </si>
  <si>
    <t>Outputs Name</t>
  </si>
  <si>
    <t>a_out</t>
  </si>
  <si>
    <t>b_out</t>
  </si>
  <si>
    <t>c_out</t>
  </si>
  <si>
    <t>d_out</t>
  </si>
  <si>
    <t xml:space="preserve">No. of i/p Bits </t>
  </si>
  <si>
    <t xml:space="preserve">No. of o/p Bits </t>
  </si>
  <si>
    <t>ain</t>
  </si>
  <si>
    <t xml:space="preserve">ain == 3'b101  &amp;&amp; b == 2'1 0  &amp;&amp;  c </t>
  </si>
  <si>
    <t xml:space="preserve">ain ==  3'b001  &amp;&amp; !c </t>
  </si>
  <si>
    <t>ain == 3'b001</t>
  </si>
  <si>
    <t xml:space="preserve"> b == 2'b11 &amp;&amp; c </t>
  </si>
  <si>
    <t xml:space="preserve">ain  = 3'b110  &amp;&amp; b = 2'b01 &amp;&amp; c </t>
  </si>
  <si>
    <t>Ouput</t>
  </si>
  <si>
    <t>1b'1</t>
  </si>
  <si>
    <t>1b'0</t>
  </si>
  <si>
    <t>2b'00</t>
  </si>
  <si>
    <t>2b'01</t>
  </si>
  <si>
    <t>2b'10</t>
  </si>
  <si>
    <t>2b'11</t>
  </si>
  <si>
    <t>3b'000</t>
  </si>
  <si>
    <t>3b'010</t>
  </si>
  <si>
    <t>3b'100</t>
  </si>
  <si>
    <t>3b'111</t>
  </si>
  <si>
    <t>State_4</t>
  </si>
  <si>
    <t>State_5</t>
  </si>
  <si>
    <t>3b'101</t>
  </si>
  <si>
    <t>3b'011</t>
  </si>
  <si>
    <t>ain == 3'b101 &amp;&amp; !c</t>
  </si>
  <si>
    <t>e</t>
  </si>
  <si>
    <t>e_out</t>
  </si>
  <si>
    <t xml:space="preserve">Code </t>
  </si>
  <si>
    <t>FSM (Moore)</t>
  </si>
  <si>
    <t>State_6</t>
  </si>
  <si>
    <t>State_7</t>
  </si>
  <si>
    <t xml:space="preserve">module fsm_x000D_
(_x000D_
input clk ,_x000D_
input rst ,_x000D_
input ain,_x000D_
input [1:0] b,_x000D_
input c,_x000D_
input [4:0] d,_x000D_
output reg a_out,_x000D_
output reg [1:0] b_out,_x000D_
output reg [1:0] c_out,_x000D_
output reg [2:0] d_out,_x000D_
output reg e_out _x000D_
);_x000D_
parameter State_1 = 3'b0 ;_x000D_
parameter State_2 = 3'b1 ;_x000D_
parameter State_3 = 3'b10 ;_x000D_
parameter State_4 = 3'b11 ;_x000D_
parameter State_5 = 3'b100 ;_x000D_
parameter State_6 = 3'b101 ;_x000D_
parameter State_7 = 3'b110 ;_x000D_
_x000D_
reg [3:0] current_state ;_x000D_
reg [3:0] next_state ;_x000D_
_x000D_
always@(posedge clk or negedge rst)_x000D_
begin_x000D_
   if(rst == 1'b1)_x000D_
   begin_x000D_
      current_state &lt;= 3'b0;_x000D_
   end_x000D_
_x000D_
   else_x000D_
   begin_x000D_
      current_state &lt;= next_state;_x000D_
   end_x000D_
_x000D_
end_x000D_
_x000D_
always@(*)_x000D_
begin_x000D_
   if( current_state == State_5 &amp;&amp; ain == 3'b101  &amp;&amp; b == 2'1 0  &amp;&amp;  c )_x000D_
   begin_x000D_
      next_state &lt;= State_1;_x000D_
   end_x000D_
   elseif( current_state == State_2 &amp;&amp; ain == 3'b001)_x000D_
   begin_x000D_
      next_state &lt;= State_2;_x000D_
   end_x000D_
   elseif( current_state == State_2 &amp;&amp; ain ==  3'b001  &amp;&amp; !c )_x000D_
   begin_x000D_
      next_state &lt;= State_3;_x000D_
   end_x000D_
   elseif( current_state == State_1 &amp;&amp;  b == 2'b11 &amp;&amp; c )_x000D_
   begin_x000D_
      next_state &lt;= State_3;_x000D_
   end_x000D_
   elseif( current_state == State_5 &amp;&amp; ain  = 3'b110  &amp;&amp; b = 2'b01 &amp;&amp; c )_x000D_
   begin_x000D_
      next_state &lt;= State_4;_x000D_
   end_x000D_
   elseif( current_state == State_1 &amp;&amp; ain == 3'b101  &amp;&amp; b == 2'1 0  &amp;&amp;  c )_x000D_
   begin_x000D_
      next_state &lt;= State_4;_x000D_
   end_x000D_
   elseif( current_state == State_1 &amp;&amp; ain == 3'b101 &amp;&amp; !c)_x000D_
   begin_x000D_
      next_state &lt;= State_5;_x000D_
   end_x000D_
   elseif( current_state == State_1 &amp;&amp; ain ==  3'b001  &amp;&amp; !c )_x000D_
   begin_x000D_
      next_state &lt;= State_6;_x000D_
   end_x000D_
   elseif( current_state == State_1 &amp;&amp; ain == 3'b101  &amp;&amp; b == 2'1 0  &amp;&amp;  c )_x000D_
   begin_x000D_
      next_state &lt;= State_7;_x000D_
   end_x000D_
end_x000D_
_x000D_
always@(posedge clk or negedge rst)_x000D_
begin_x000D_
   if(rst == 1'b0)_x000D_
   begin_x000D_
      a_out &lt;= 1'b0;_x000D_
      b_out &lt;= 2'b0;_x000D_
      c_out &lt;= 2'b0;_x000D_
      d_out &lt;= 3'b0;_x000D_
      e_out &lt;= 1'b0;_x000D_
   end_x000D_
_x000D_
   else_x000D_
   begin_x000D_
   if( current_state == State_1)_x000D_
      begin_x000D_
         a_out &lt;= 1b'1_x000D_
         b_out &lt;= 2b'00_x000D_
         c_out &lt;= 2b'00_x000D_
         d_out &lt;= 3b'000_x000D_
         e_out &lt;= 1b'1_x000D_
      end_x000D_
   elseif( current_state == State_2)_x000D_
      begin_x000D_
         a_out &lt;= 1b'0_x000D_
         b_out &lt;= 2b'01_x000D_
         c_out &lt;= 2b'01_x000D_
         d_out &lt;= 3b'010_x000D_
         e_out &lt;= 1b'0_x000D_
      end_x000D_
   elseif( current_state == State_3)_x000D_
      begin_x000D_
         a_out &lt;= 1b'0_x000D_
         b_out &lt;= 2b'10_x000D_
         c_out &lt;= 2b'10_x000D_
         d_out &lt;= 3b'100_x000D_
         e_out &lt;= 1b'0_x000D_
      end_x000D_
   elseif( current_state == State_4)_x000D_
      begin_x000D_
         a_out &lt;= 1b'1_x000D_
         b_out &lt;= 2b'11_x000D_
         c_out &lt;= 2b'11_x000D_
         d_out &lt;= 3b'111_x000D_
         e_out &lt;= 1b'1_x000D_
      end_x000D_
   elseif( current_state == State_5)_x000D_
      begin_x000D_
         a_out &lt;= 1b'1_x000D_
         b_out &lt;= 2b'01_x000D_
         c_out &lt;= 2b'00_x000D_
         d_out &lt;= 3b'010_x000D_
         e_out &lt;= 1b'1_x000D_
      end_x000D_
   elseif( current_state == State_6)_x000D_
      begin_x000D_
         a_out &lt;= 1b'0_x000D_
         b_out &lt;= 2b'10_x000D_
         c_out &lt;= 2b'01_x000D_
         d_out &lt;= 3b'101_x000D_
         e_out &lt;= 1b'0_x000D_
      end_x000D_
   elseif( current_state == State_7)_x000D_
      begin_x000D_
         a_out &lt;= 1b'0_x000D_
         b_out &lt;= 2b'11_x000D_
         c_out &lt;= 2b'10_x000D_
         d_out &lt;= 3b'011_x000D_
         e_out &lt;= 1b'0_x000D_
      end_x000D_
   end_x000D_
_x000D_
end_x000D_
_x000D_
endmodule_x000D_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</si>
</sst>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1" xfId="0" applyBorder="1"/>
    <xf numFmtId="0" fontId="0" fillId="0" borderId="0" xfId="0" applyAlignment="1">
      <alignment textRotation="255"/>
    </xf>
    <xf numFmtId="0" fontId="1" fillId="0" borderId="0" xfId="0" applyFont="1" applyAlignment="1">
      <alignment horizontal="center"/>
    </xf>
    <xf numFmtId="0" fontId="0" fillId="0" borderId="3" xfId="0" applyBorder="1"/>
    <xf numFmtId="0" fontId="1" fillId="0" borderId="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7" borderId="4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2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1" fillId="4" borderId="2" xfId="0" applyFont="1" applyFill="1" applyBorder="1" applyAlignment="1">
      <alignment horizontal="center"/>
    </xf>
    <xf numFmtId="0" fontId="1" fillId="0" borderId="11" xfId="0" applyFont="1" applyBorder="1"/>
    <xf numFmtId="0" fontId="1" fillId="6" borderId="19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22" xfId="0" applyBorder="1"/>
    <xf numFmtId="0" fontId="0" fillId="0" borderId="23" xfId="0" applyBorder="1"/>
    <xf numFmtId="0" fontId="2" fillId="0" borderId="0" xfId="0" applyFont="1"/>
    <xf numFmtId="0" fontId="1" fillId="0" borderId="17" xfId="0" applyFont="1" applyBorder="1" applyAlignment="1">
      <alignment horizontal="left"/>
    </xf>
    <xf numFmtId="0" fontId="0" fillId="0" borderId="5" xfId="0" applyBorder="1"/>
    <xf numFmtId="0" fontId="0" fillId="0" borderId="4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" xfId="0" applyBorder="1"/>
    <xf numFmtId="0" fontId="1" fillId="0" borderId="7" xfId="0" applyFont="1" applyBorder="1"/>
    <xf numFmtId="0" fontId="1" fillId="0" borderId="31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42" xfId="0" applyFont="1" applyBorder="1"/>
    <xf numFmtId="0" fontId="1" fillId="0" borderId="12" xfId="0" applyFont="1" applyBorder="1" applyAlignment="1">
      <alignment horizontal="left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39" xfId="0" applyBorder="1"/>
    <xf numFmtId="0" fontId="0" fillId="0" borderId="39" xfId="0" applyBorder="1" applyAlignment="1">
      <alignment vertical="top" wrapText="1"/>
    </xf>
    <xf numFmtId="0" fontId="0" fillId="5" borderId="2" xfId="0" applyFill="1" applyBorder="1"/>
    <xf numFmtId="0" fontId="1" fillId="5" borderId="4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1" xfId="0" applyFont="1" applyBorder="1" applyAlignment="1">
      <alignment wrapText="1"/>
    </xf>
    <xf numFmtId="0" fontId="1" fillId="0" borderId="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43" xfId="0" applyFont="1" applyBorder="1"/>
    <xf numFmtId="0" fontId="1" fillId="0" borderId="44" xfId="0" applyFont="1" applyBorder="1"/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1" fillId="0" borderId="46" xfId="0" applyFont="1" applyBorder="1"/>
    <xf numFmtId="0" fontId="0" fillId="0" borderId="2" xfId="0" applyBorder="1" applyAlignment="1">
      <alignment vertical="top" wrapText="1"/>
    </xf>
    <xf numFmtId="0" fontId="0" fillId="0" borderId="45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1" fillId="0" borderId="2" xfId="0" applyFont="1" applyBorder="1"/>
    <xf numFmtId="0" fontId="1" fillId="0" borderId="32" xfId="0" applyFont="1" applyBorder="1" applyAlignment="1">
      <alignment horizontal="center" wrapText="1"/>
    </xf>
    <xf numFmtId="0" fontId="1" fillId="0" borderId="33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36" xfId="0" applyFont="1" applyBorder="1"/>
    <xf numFmtId="0" fontId="0" fillId="0" borderId="6" xfId="0" applyBorder="1"/>
    <xf numFmtId="0" fontId="0" fillId="0" borderId="47" xfId="0" applyBorder="1"/>
    <xf numFmtId="0" fontId="0" fillId="0" borderId="36" xfId="0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33" xfId="0" applyFont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16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2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41" xfId="0" applyFont="1" applyBorder="1" applyAlignment="1">
      <alignment horizontal="left"/>
    </xf>
    <xf numFmtId="0" fontId="1" fillId="2" borderId="10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0" borderId="25" xfId="0" applyBorder="1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28" xfId="0" applyBorder="1" applyAlignment="1">
      <alignment horizontal="left" wrapText="1"/>
    </xf>
    <xf numFmtId="0" fontId="0" fillId="0" borderId="29" xfId="0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3" fillId="9" borderId="4" xfId="0" applyFont="1" applyFill="1" applyBorder="1" applyAlignment="1">
      <alignment horizontal="center"/>
    </xf>
    <xf numFmtId="0" fontId="3" fillId="9" borderId="16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2</xdr:row>
      <xdr:rowOff>44450</xdr:rowOff>
    </xdr:from>
    <xdr:to>
      <xdr:col>12</xdr:col>
      <xdr:colOff>457200</xdr:colOff>
      <xdr:row>5</xdr:row>
      <xdr:rowOff>79375</xdr:rowOff>
    </xdr:to>
    <xdr:sp macro="" textlink="">
      <xdr:nvSpPr>
        <xdr:cNvPr id="15681" name="Oval 15680">
          <a:extLst>
            <a:ext uri="{FF2B5EF4-FFF2-40B4-BE49-F238E27FC236}">
              <a16:creationId xmlns:a16="http://schemas.microsoft.com/office/drawing/2014/main" id="{7710FB96-0764-61B3-709B-D7E15606EAE8}"/>
            </a:ext>
          </a:extLst>
        </xdr:cNvPr>
        <xdr:cNvSpPr/>
      </xdr:nvSpPr>
      <xdr:spPr>
        <a:xfrm>
          <a:off x="10160000" y="63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State_1</a:t>
          </a:r>
        </a:p>
      </xdr:txBody>
    </xdr:sp>
    <xdr:clientData/>
  </xdr:twoCellAnchor>
  <xdr:twoCellAnchor>
    <xdr:from>
      <xdr:col>10</xdr:col>
      <xdr:colOff>406400</xdr:colOff>
      <xdr:row>8</xdr:row>
      <xdr:rowOff>114300</xdr:rowOff>
    </xdr:from>
    <xdr:to>
      <xdr:col>12</xdr:col>
      <xdr:colOff>457200</xdr:colOff>
      <xdr:row>11</xdr:row>
      <xdr:rowOff>177800</xdr:rowOff>
    </xdr:to>
    <xdr:sp macro="" textlink="">
      <xdr:nvSpPr>
        <xdr:cNvPr id="15682" name="Oval 15681">
          <a:extLst>
            <a:ext uri="{FF2B5EF4-FFF2-40B4-BE49-F238E27FC236}">
              <a16:creationId xmlns:a16="http://schemas.microsoft.com/office/drawing/2014/main" id="{71F03A12-2F3F-6C55-3CB3-17CCA81E256F}"/>
            </a:ext>
          </a:extLst>
        </xdr:cNvPr>
        <xdr:cNvSpPr/>
      </xdr:nvSpPr>
      <xdr:spPr>
        <a:xfrm>
          <a:off x="10160000" y="190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State_2</a:t>
          </a:r>
        </a:p>
      </xdr:txBody>
    </xdr:sp>
    <xdr:clientData/>
  </xdr:twoCellAnchor>
  <xdr:twoCellAnchor>
    <xdr:from>
      <xdr:col>10</xdr:col>
      <xdr:colOff>406400</xdr:colOff>
      <xdr:row>15</xdr:row>
      <xdr:rowOff>50800</xdr:rowOff>
    </xdr:from>
    <xdr:to>
      <xdr:col>12</xdr:col>
      <xdr:colOff>457200</xdr:colOff>
      <xdr:row>18</xdr:row>
      <xdr:rowOff>114300</xdr:rowOff>
    </xdr:to>
    <xdr:sp macro="" textlink="">
      <xdr:nvSpPr>
        <xdr:cNvPr id="15683" name="Oval 15682">
          <a:extLst>
            <a:ext uri="{FF2B5EF4-FFF2-40B4-BE49-F238E27FC236}">
              <a16:creationId xmlns:a16="http://schemas.microsoft.com/office/drawing/2014/main" id="{A9CA3A02-7C59-6A9A-4A11-80878812D4E8}"/>
            </a:ext>
          </a:extLst>
        </xdr:cNvPr>
        <xdr:cNvSpPr/>
      </xdr:nvSpPr>
      <xdr:spPr>
        <a:xfrm>
          <a:off x="10160000" y="317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State_3</a:t>
          </a:r>
        </a:p>
      </xdr:txBody>
    </xdr:sp>
    <xdr:clientData/>
  </xdr:twoCellAnchor>
  <xdr:twoCellAnchor>
    <xdr:from>
      <xdr:col>10</xdr:col>
      <xdr:colOff>406400</xdr:colOff>
      <xdr:row>21</xdr:row>
      <xdr:rowOff>177800</xdr:rowOff>
    </xdr:from>
    <xdr:to>
      <xdr:col>12</xdr:col>
      <xdr:colOff>457200</xdr:colOff>
      <xdr:row>25</xdr:row>
      <xdr:rowOff>50800</xdr:rowOff>
    </xdr:to>
    <xdr:sp macro="" textlink="">
      <xdr:nvSpPr>
        <xdr:cNvPr id="15684" name="Oval 15683">
          <a:extLst>
            <a:ext uri="{FF2B5EF4-FFF2-40B4-BE49-F238E27FC236}">
              <a16:creationId xmlns:a16="http://schemas.microsoft.com/office/drawing/2014/main" id="{3BF65324-BA44-5116-3294-29F4801B487C}"/>
            </a:ext>
          </a:extLst>
        </xdr:cNvPr>
        <xdr:cNvSpPr/>
      </xdr:nvSpPr>
      <xdr:spPr>
        <a:xfrm>
          <a:off x="10160000" y="444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State_4</a:t>
          </a:r>
        </a:p>
      </xdr:txBody>
    </xdr:sp>
    <xdr:clientData/>
  </xdr:twoCellAnchor>
  <xdr:twoCellAnchor>
    <xdr:from>
      <xdr:col>10</xdr:col>
      <xdr:colOff>406400</xdr:colOff>
      <xdr:row>28</xdr:row>
      <xdr:rowOff>104775</xdr:rowOff>
    </xdr:from>
    <xdr:to>
      <xdr:col>12</xdr:col>
      <xdr:colOff>457200</xdr:colOff>
      <xdr:row>31</xdr:row>
      <xdr:rowOff>149225</xdr:rowOff>
    </xdr:to>
    <xdr:sp macro="" textlink="">
      <xdr:nvSpPr>
        <xdr:cNvPr id="15685" name="Oval 15684">
          <a:extLst>
            <a:ext uri="{FF2B5EF4-FFF2-40B4-BE49-F238E27FC236}">
              <a16:creationId xmlns:a16="http://schemas.microsoft.com/office/drawing/2014/main" id="{A4BD2D7A-5123-635C-4CC3-B0C7A05ECCB9}"/>
            </a:ext>
          </a:extLst>
        </xdr:cNvPr>
        <xdr:cNvSpPr/>
      </xdr:nvSpPr>
      <xdr:spPr>
        <a:xfrm>
          <a:off x="10160000" y="571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State_5</a:t>
          </a:r>
        </a:p>
      </xdr:txBody>
    </xdr:sp>
    <xdr:clientData/>
  </xdr:twoCellAnchor>
  <xdr:twoCellAnchor>
    <xdr:from>
      <xdr:col>10</xdr:col>
      <xdr:colOff>406400</xdr:colOff>
      <xdr:row>35</xdr:row>
      <xdr:rowOff>22225</xdr:rowOff>
    </xdr:from>
    <xdr:to>
      <xdr:col>12</xdr:col>
      <xdr:colOff>457200</xdr:colOff>
      <xdr:row>38</xdr:row>
      <xdr:rowOff>85725</xdr:rowOff>
    </xdr:to>
    <xdr:sp macro="" textlink="">
      <xdr:nvSpPr>
        <xdr:cNvPr id="15686" name="Oval 15685">
          <a:extLst>
            <a:ext uri="{FF2B5EF4-FFF2-40B4-BE49-F238E27FC236}">
              <a16:creationId xmlns:a16="http://schemas.microsoft.com/office/drawing/2014/main" id="{A40800C0-32B1-8ECE-17AD-FADDACD0AEF5}"/>
            </a:ext>
          </a:extLst>
        </xdr:cNvPr>
        <xdr:cNvSpPr/>
      </xdr:nvSpPr>
      <xdr:spPr>
        <a:xfrm>
          <a:off x="10160000" y="698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State_6</a:t>
          </a:r>
        </a:p>
      </xdr:txBody>
    </xdr:sp>
    <xdr:clientData/>
  </xdr:twoCellAnchor>
  <xdr:twoCellAnchor>
    <xdr:from>
      <xdr:col>10</xdr:col>
      <xdr:colOff>406400</xdr:colOff>
      <xdr:row>41</xdr:row>
      <xdr:rowOff>149225</xdr:rowOff>
    </xdr:from>
    <xdr:to>
      <xdr:col>12</xdr:col>
      <xdr:colOff>457200</xdr:colOff>
      <xdr:row>45</xdr:row>
      <xdr:rowOff>22225</xdr:rowOff>
    </xdr:to>
    <xdr:sp macro="" textlink="">
      <xdr:nvSpPr>
        <xdr:cNvPr id="15687" name="Oval 15686">
          <a:extLst>
            <a:ext uri="{FF2B5EF4-FFF2-40B4-BE49-F238E27FC236}">
              <a16:creationId xmlns:a16="http://schemas.microsoft.com/office/drawing/2014/main" id="{04833A8F-BA1F-652D-4FEE-B2FF9B77C71F}"/>
            </a:ext>
          </a:extLst>
        </xdr:cNvPr>
        <xdr:cNvSpPr/>
      </xdr:nvSpPr>
      <xdr:spPr>
        <a:xfrm>
          <a:off x="10160000" y="8255000"/>
          <a:ext cx="1270000" cy="635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State_7</a:t>
          </a:r>
        </a:p>
      </xdr:txBody>
    </xdr:sp>
    <xdr:clientData/>
  </xdr:twoCellAnchor>
  <xdr:twoCellAnchor>
    <xdr:from>
      <xdr:col>6</xdr:col>
      <xdr:colOff>438150</xdr:colOff>
      <xdr:row>3</xdr:row>
      <xdr:rowOff>161925</xdr:rowOff>
    </xdr:from>
    <xdr:to>
      <xdr:col>10</xdr:col>
      <xdr:colOff>406401</xdr:colOff>
      <xdr:row>30</xdr:row>
      <xdr:rowOff>22226</xdr:rowOff>
    </xdr:to>
    <xdr:sp macro="" textlink="">
      <xdr:nvSpPr>
        <xdr:cNvPr id="15688" name="Freeform: Shape 15687">
          <a:extLst>
            <a:ext uri="{FF2B5EF4-FFF2-40B4-BE49-F238E27FC236}">
              <a16:creationId xmlns:a16="http://schemas.microsoft.com/office/drawing/2014/main" id="{C8A3AF37-0551-16EE-D194-3D0EABE94539}"/>
            </a:ext>
          </a:extLst>
        </xdr:cNvPr>
        <xdr:cNvSpPr/>
      </xdr:nvSpPr>
      <xdr:spPr>
        <a:xfrm>
          <a:off x="7620000" y="952500"/>
          <a:ext cx="2540001" cy="5080001"/>
        </a:xfrm>
        <a:custGeom>
          <a:avLst/>
          <a:gdLst/>
          <a:ahLst/>
          <a:cxnLst/>
          <a:rect l="0" t="0" r="0" b="0"/>
          <a:pathLst>
            <a:path w="2540001" h="5080001">
              <a:moveTo>
                <a:pt x="2540000" y="5080000"/>
              </a:moveTo>
              <a:cubicBezTo>
                <a:pt x="0" y="4572000"/>
                <a:pt x="0" y="1016000"/>
                <a:pt x="2540000" y="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6</xdr:col>
      <xdr:colOff>374650</xdr:colOff>
      <xdr:row>16</xdr:row>
      <xdr:rowOff>177800</xdr:rowOff>
    </xdr:from>
    <xdr:to>
      <xdr:col>10</xdr:col>
      <xdr:colOff>342900</xdr:colOff>
      <xdr:row>19</xdr:row>
      <xdr:rowOff>114300</xdr:rowOff>
    </xdr:to>
    <xdr:sp macro="" textlink="">
      <xdr:nvSpPr>
        <xdr:cNvPr id="15689" name="Rectangle 15688">
          <a:extLst>
            <a:ext uri="{FF2B5EF4-FFF2-40B4-BE49-F238E27FC236}">
              <a16:creationId xmlns:a16="http://schemas.microsoft.com/office/drawing/2014/main" id="{90F1F311-A32E-0126-52B7-3B8B66E4FAE6}"/>
            </a:ext>
          </a:extLst>
        </xdr:cNvPr>
        <xdr:cNvSpPr/>
      </xdr:nvSpPr>
      <xdr:spPr>
        <a:xfrm>
          <a:off x="7556500" y="34925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3'b101  &amp;&amp; b == 2'1 0  &amp;&amp;  c </a:t>
          </a:r>
        </a:p>
      </xdr:txBody>
    </xdr:sp>
    <xdr:clientData/>
  </xdr:twoCellAnchor>
  <xdr:twoCellAnchor>
    <xdr:from>
      <xdr:col>11</xdr:col>
      <xdr:colOff>114300</xdr:colOff>
      <xdr:row>6</xdr:row>
      <xdr:rowOff>6350</xdr:rowOff>
    </xdr:from>
    <xdr:to>
      <xdr:col>12</xdr:col>
      <xdr:colOff>139701</xdr:colOff>
      <xdr:row>8</xdr:row>
      <xdr:rowOff>177801</xdr:rowOff>
    </xdr:to>
    <xdr:sp macro="" textlink="">
      <xdr:nvSpPr>
        <xdr:cNvPr id="15690" name="Freeform: Shape 15689">
          <a:extLst>
            <a:ext uri="{FF2B5EF4-FFF2-40B4-BE49-F238E27FC236}">
              <a16:creationId xmlns:a16="http://schemas.microsoft.com/office/drawing/2014/main" id="{287F27BB-9C41-B88E-9D1C-75D6AD9883DA}"/>
            </a:ext>
          </a:extLst>
        </xdr:cNvPr>
        <xdr:cNvSpPr/>
      </xdr:nvSpPr>
      <xdr:spPr>
        <a:xfrm>
          <a:off x="10477500" y="1397000"/>
          <a:ext cx="635001" cy="571501"/>
        </a:xfrm>
        <a:custGeom>
          <a:avLst/>
          <a:gdLst/>
          <a:ahLst/>
          <a:cxnLst/>
          <a:rect l="0" t="0" r="0" b="0"/>
          <a:pathLst>
            <a:path w="635001" h="571501">
              <a:moveTo>
                <a:pt x="635000" y="571500"/>
              </a:moveTo>
              <a:cubicBezTo>
                <a:pt x="508000" y="0"/>
                <a:pt x="127000" y="0"/>
                <a:pt x="0" y="5715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12700</xdr:colOff>
      <xdr:row>6</xdr:row>
      <xdr:rowOff>6350</xdr:rowOff>
    </xdr:from>
    <xdr:to>
      <xdr:col>15</xdr:col>
      <xdr:colOff>590550</xdr:colOff>
      <xdr:row>8</xdr:row>
      <xdr:rowOff>114300</xdr:rowOff>
    </xdr:to>
    <xdr:sp macro="" textlink="">
      <xdr:nvSpPr>
        <xdr:cNvPr id="15691" name="Rectangle 15690">
          <a:extLst>
            <a:ext uri="{FF2B5EF4-FFF2-40B4-BE49-F238E27FC236}">
              <a16:creationId xmlns:a16="http://schemas.microsoft.com/office/drawing/2014/main" id="{87EC1FD7-2FA6-F533-7DED-0E44A359ACAB}"/>
            </a:ext>
          </a:extLst>
        </xdr:cNvPr>
        <xdr:cNvSpPr/>
      </xdr:nvSpPr>
      <xdr:spPr>
        <a:xfrm>
          <a:off x="10985500" y="13970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3'b001</a:t>
          </a:r>
        </a:p>
      </xdr:txBody>
    </xdr:sp>
    <xdr:clientData/>
  </xdr:twoCellAnchor>
  <xdr:twoCellAnchor>
    <xdr:from>
      <xdr:col>12</xdr:col>
      <xdr:colOff>457200</xdr:colOff>
      <xdr:row>10</xdr:row>
      <xdr:rowOff>50800</xdr:rowOff>
    </xdr:from>
    <xdr:to>
      <xdr:col>13</xdr:col>
      <xdr:colOff>482601</xdr:colOff>
      <xdr:row>16</xdr:row>
      <xdr:rowOff>177801</xdr:rowOff>
    </xdr:to>
    <xdr:sp macro="" textlink="">
      <xdr:nvSpPr>
        <xdr:cNvPr id="15692" name="Freeform: Shape 15691">
          <a:extLst>
            <a:ext uri="{FF2B5EF4-FFF2-40B4-BE49-F238E27FC236}">
              <a16:creationId xmlns:a16="http://schemas.microsoft.com/office/drawing/2014/main" id="{58C631B2-2DB4-A0D8-1854-433560C281F0}"/>
            </a:ext>
          </a:extLst>
        </xdr:cNvPr>
        <xdr:cNvSpPr/>
      </xdr:nvSpPr>
      <xdr:spPr>
        <a:xfrm>
          <a:off x="11430000" y="2222500"/>
          <a:ext cx="635001" cy="1270001"/>
        </a:xfrm>
        <a:custGeom>
          <a:avLst/>
          <a:gdLst/>
          <a:ahLst/>
          <a:cxnLst/>
          <a:rect l="0" t="0" r="0" b="0"/>
          <a:pathLst>
            <a:path w="635001" h="1270001">
              <a:moveTo>
                <a:pt x="0" y="0"/>
              </a:moveTo>
              <a:cubicBezTo>
                <a:pt x="635000" y="127000"/>
                <a:pt x="635000" y="1016000"/>
                <a:pt x="0" y="127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527050</xdr:colOff>
      <xdr:row>12</xdr:row>
      <xdr:rowOff>127000</xdr:rowOff>
    </xdr:from>
    <xdr:to>
      <xdr:col>15</xdr:col>
      <xdr:colOff>495300</xdr:colOff>
      <xdr:row>15</xdr:row>
      <xdr:rowOff>63500</xdr:rowOff>
    </xdr:to>
    <xdr:sp macro="" textlink="">
      <xdr:nvSpPr>
        <xdr:cNvPr id="15693" name="Rectangle 15692">
          <a:extLst>
            <a:ext uri="{FF2B5EF4-FFF2-40B4-BE49-F238E27FC236}">
              <a16:creationId xmlns:a16="http://schemas.microsoft.com/office/drawing/2014/main" id="{1113C406-866F-AB65-66E1-E34869F22345}"/>
            </a:ext>
          </a:extLst>
        </xdr:cNvPr>
        <xdr:cNvSpPr/>
      </xdr:nvSpPr>
      <xdr:spPr>
        <a:xfrm>
          <a:off x="10890250" y="26797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 3'b001  &amp;&amp; !c </a:t>
          </a:r>
        </a:p>
      </xdr:txBody>
    </xdr:sp>
    <xdr:clientData/>
  </xdr:twoCellAnchor>
  <xdr:twoCellAnchor>
    <xdr:from>
      <xdr:col>12</xdr:col>
      <xdr:colOff>457200</xdr:colOff>
      <xdr:row>3</xdr:row>
      <xdr:rowOff>161925</xdr:rowOff>
    </xdr:from>
    <xdr:to>
      <xdr:col>14</xdr:col>
      <xdr:colOff>508001</xdr:colOff>
      <xdr:row>16</xdr:row>
      <xdr:rowOff>177801</xdr:rowOff>
    </xdr:to>
    <xdr:sp macro="" textlink="">
      <xdr:nvSpPr>
        <xdr:cNvPr id="15694" name="Freeform: Shape 15693">
          <a:extLst>
            <a:ext uri="{FF2B5EF4-FFF2-40B4-BE49-F238E27FC236}">
              <a16:creationId xmlns:a16="http://schemas.microsoft.com/office/drawing/2014/main" id="{DD9F607F-4D84-BFB2-73CD-138574C075DC}"/>
            </a:ext>
          </a:extLst>
        </xdr:cNvPr>
        <xdr:cNvSpPr/>
      </xdr:nvSpPr>
      <xdr:spPr>
        <a:xfrm>
          <a:off x="11430000" y="952500"/>
          <a:ext cx="1270001" cy="2540001"/>
        </a:xfrm>
        <a:custGeom>
          <a:avLst/>
          <a:gdLst/>
          <a:ahLst/>
          <a:cxnLst/>
          <a:rect l="0" t="0" r="0" b="0"/>
          <a:pathLst>
            <a:path w="1270001" h="2540001">
              <a:moveTo>
                <a:pt x="0" y="0"/>
              </a:moveTo>
              <a:cubicBezTo>
                <a:pt x="952500" y="254000"/>
                <a:pt x="1270000" y="2032000"/>
                <a:pt x="0" y="254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584200</xdr:colOff>
      <xdr:row>8</xdr:row>
      <xdr:rowOff>76200</xdr:rowOff>
    </xdr:from>
    <xdr:to>
      <xdr:col>16</xdr:col>
      <xdr:colOff>552450</xdr:colOff>
      <xdr:row>11</xdr:row>
      <xdr:rowOff>12700</xdr:rowOff>
    </xdr:to>
    <xdr:sp macro="" textlink="">
      <xdr:nvSpPr>
        <xdr:cNvPr id="15695" name="Rectangle 15694">
          <a:extLst>
            <a:ext uri="{FF2B5EF4-FFF2-40B4-BE49-F238E27FC236}">
              <a16:creationId xmlns:a16="http://schemas.microsoft.com/office/drawing/2014/main" id="{5161B007-669A-3041-918E-B74F577FD32B}"/>
            </a:ext>
          </a:extLst>
        </xdr:cNvPr>
        <xdr:cNvSpPr/>
      </xdr:nvSpPr>
      <xdr:spPr>
        <a:xfrm>
          <a:off x="11557000" y="18669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 b == 2'b11 &amp;&amp; c </a:t>
          </a:r>
        </a:p>
      </xdr:txBody>
    </xdr:sp>
    <xdr:clientData/>
  </xdr:twoCellAnchor>
  <xdr:twoCellAnchor>
    <xdr:from>
      <xdr:col>9</xdr:col>
      <xdr:colOff>295275</xdr:colOff>
      <xdr:row>23</xdr:row>
      <xdr:rowOff>114300</xdr:rowOff>
    </xdr:from>
    <xdr:to>
      <xdr:col>10</xdr:col>
      <xdr:colOff>406401</xdr:colOff>
      <xdr:row>30</xdr:row>
      <xdr:rowOff>22226</xdr:rowOff>
    </xdr:to>
    <xdr:sp macro="" textlink="">
      <xdr:nvSpPr>
        <xdr:cNvPr id="15696" name="Freeform: Shape 15695">
          <a:extLst>
            <a:ext uri="{FF2B5EF4-FFF2-40B4-BE49-F238E27FC236}">
              <a16:creationId xmlns:a16="http://schemas.microsoft.com/office/drawing/2014/main" id="{E96E3748-4B11-AE0C-F76E-040467704315}"/>
            </a:ext>
          </a:extLst>
        </xdr:cNvPr>
        <xdr:cNvSpPr/>
      </xdr:nvSpPr>
      <xdr:spPr>
        <a:xfrm>
          <a:off x="9525000" y="4762500"/>
          <a:ext cx="635001" cy="1270001"/>
        </a:xfrm>
        <a:custGeom>
          <a:avLst/>
          <a:gdLst/>
          <a:ahLst/>
          <a:cxnLst/>
          <a:rect l="0" t="0" r="0" b="0"/>
          <a:pathLst>
            <a:path w="635001" h="1270001">
              <a:moveTo>
                <a:pt x="635000" y="1270000"/>
              </a:moveTo>
              <a:cubicBezTo>
                <a:pt x="0" y="1143000"/>
                <a:pt x="0" y="254000"/>
                <a:pt x="635000" y="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327025</xdr:colOff>
      <xdr:row>26</xdr:row>
      <xdr:rowOff>177800</xdr:rowOff>
    </xdr:from>
    <xdr:to>
      <xdr:col>13</xdr:col>
      <xdr:colOff>514350</xdr:colOff>
      <xdr:row>29</xdr:row>
      <xdr:rowOff>95250</xdr:rowOff>
    </xdr:to>
    <xdr:sp macro="" textlink="">
      <xdr:nvSpPr>
        <xdr:cNvPr id="15697" name="Rectangle 15696">
          <a:extLst>
            <a:ext uri="{FF2B5EF4-FFF2-40B4-BE49-F238E27FC236}">
              <a16:creationId xmlns:a16="http://schemas.microsoft.com/office/drawing/2014/main" id="{86F4B31B-58B0-14A3-4C4C-D591A50CACF8}"/>
            </a:ext>
          </a:extLst>
        </xdr:cNvPr>
        <xdr:cNvSpPr/>
      </xdr:nvSpPr>
      <xdr:spPr>
        <a:xfrm>
          <a:off x="9556750" y="53975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 = 3'b110  &amp;&amp; b = 2'b01 &amp;&amp; c </a:t>
          </a:r>
        </a:p>
      </xdr:txBody>
    </xdr:sp>
    <xdr:clientData/>
  </xdr:twoCellAnchor>
  <xdr:twoCellAnchor>
    <xdr:from>
      <xdr:col>12</xdr:col>
      <xdr:colOff>457200</xdr:colOff>
      <xdr:row>3</xdr:row>
      <xdr:rowOff>161925</xdr:rowOff>
    </xdr:from>
    <xdr:to>
      <xdr:col>15</xdr:col>
      <xdr:colOff>400051</xdr:colOff>
      <xdr:row>23</xdr:row>
      <xdr:rowOff>114301</xdr:rowOff>
    </xdr:to>
    <xdr:sp macro="" textlink="">
      <xdr:nvSpPr>
        <xdr:cNvPr id="15698" name="Freeform: Shape 15697">
          <a:extLst>
            <a:ext uri="{FF2B5EF4-FFF2-40B4-BE49-F238E27FC236}">
              <a16:creationId xmlns:a16="http://schemas.microsoft.com/office/drawing/2014/main" id="{162DFFF7-7D9D-B24B-1B21-553D19BEF6BF}"/>
            </a:ext>
          </a:extLst>
        </xdr:cNvPr>
        <xdr:cNvSpPr/>
      </xdr:nvSpPr>
      <xdr:spPr>
        <a:xfrm>
          <a:off x="11430000" y="952500"/>
          <a:ext cx="1905001" cy="3810001"/>
        </a:xfrm>
        <a:custGeom>
          <a:avLst/>
          <a:gdLst/>
          <a:ahLst/>
          <a:cxnLst/>
          <a:rect l="0" t="0" r="0" b="0"/>
          <a:pathLst>
            <a:path w="1905001" h="3810001">
              <a:moveTo>
                <a:pt x="0" y="0"/>
              </a:moveTo>
              <a:cubicBezTo>
                <a:pt x="1270000" y="381000"/>
                <a:pt x="1905000" y="3048000"/>
                <a:pt x="0" y="381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31750</xdr:colOff>
      <xdr:row>10</xdr:row>
      <xdr:rowOff>152400</xdr:rowOff>
    </xdr:from>
    <xdr:to>
      <xdr:col>18</xdr:col>
      <xdr:colOff>0</xdr:colOff>
      <xdr:row>13</xdr:row>
      <xdr:rowOff>88900</xdr:rowOff>
    </xdr:to>
    <xdr:sp macro="" textlink="">
      <xdr:nvSpPr>
        <xdr:cNvPr id="15699" name="Rectangle 15698">
          <a:extLst>
            <a:ext uri="{FF2B5EF4-FFF2-40B4-BE49-F238E27FC236}">
              <a16:creationId xmlns:a16="http://schemas.microsoft.com/office/drawing/2014/main" id="{3EAE01B7-6B97-4898-C14C-5C2414EE27E3}"/>
            </a:ext>
          </a:extLst>
        </xdr:cNvPr>
        <xdr:cNvSpPr/>
      </xdr:nvSpPr>
      <xdr:spPr>
        <a:xfrm>
          <a:off x="12223750" y="23241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3'b101  &amp;&amp; b == 2'1 0  &amp;&amp;  c </a:t>
          </a:r>
        </a:p>
      </xdr:txBody>
    </xdr:sp>
    <xdr:clientData/>
  </xdr:twoCellAnchor>
  <xdr:twoCellAnchor>
    <xdr:from>
      <xdr:col>12</xdr:col>
      <xdr:colOff>457200</xdr:colOff>
      <xdr:row>3</xdr:row>
      <xdr:rowOff>161925</xdr:rowOff>
    </xdr:from>
    <xdr:to>
      <xdr:col>16</xdr:col>
      <xdr:colOff>425451</xdr:colOff>
      <xdr:row>30</xdr:row>
      <xdr:rowOff>22226</xdr:rowOff>
    </xdr:to>
    <xdr:sp macro="" textlink="">
      <xdr:nvSpPr>
        <xdr:cNvPr id="15700" name="Freeform: Shape 15699">
          <a:extLst>
            <a:ext uri="{FF2B5EF4-FFF2-40B4-BE49-F238E27FC236}">
              <a16:creationId xmlns:a16="http://schemas.microsoft.com/office/drawing/2014/main" id="{3C400780-FFBB-CCFE-CBC0-DD125A6CD9B4}"/>
            </a:ext>
          </a:extLst>
        </xdr:cNvPr>
        <xdr:cNvSpPr/>
      </xdr:nvSpPr>
      <xdr:spPr>
        <a:xfrm>
          <a:off x="11430000" y="952500"/>
          <a:ext cx="2540001" cy="5080001"/>
        </a:xfrm>
        <a:custGeom>
          <a:avLst/>
          <a:gdLst/>
          <a:ahLst/>
          <a:cxnLst/>
          <a:rect l="0" t="0" r="0" b="0"/>
          <a:pathLst>
            <a:path w="2540001" h="5080001">
              <a:moveTo>
                <a:pt x="0" y="0"/>
              </a:moveTo>
              <a:cubicBezTo>
                <a:pt x="1587500" y="508000"/>
                <a:pt x="2540000" y="4064000"/>
                <a:pt x="0" y="508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698500</xdr:colOff>
      <xdr:row>13</xdr:row>
      <xdr:rowOff>38100</xdr:rowOff>
    </xdr:from>
    <xdr:to>
      <xdr:col>19</xdr:col>
      <xdr:colOff>57150</xdr:colOff>
      <xdr:row>15</xdr:row>
      <xdr:rowOff>165100</xdr:rowOff>
    </xdr:to>
    <xdr:sp macro="" textlink="">
      <xdr:nvSpPr>
        <xdr:cNvPr id="15701" name="Rectangle 15700">
          <a:extLst>
            <a:ext uri="{FF2B5EF4-FFF2-40B4-BE49-F238E27FC236}">
              <a16:creationId xmlns:a16="http://schemas.microsoft.com/office/drawing/2014/main" id="{48AB52D8-95A7-2C42-45FA-975EA03EC128}"/>
            </a:ext>
          </a:extLst>
        </xdr:cNvPr>
        <xdr:cNvSpPr/>
      </xdr:nvSpPr>
      <xdr:spPr>
        <a:xfrm>
          <a:off x="12890500" y="27813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3'b101 &amp;&amp; !c</a:t>
          </a:r>
        </a:p>
      </xdr:txBody>
    </xdr:sp>
    <xdr:clientData/>
  </xdr:twoCellAnchor>
  <xdr:twoCellAnchor>
    <xdr:from>
      <xdr:col>12</xdr:col>
      <xdr:colOff>457200</xdr:colOff>
      <xdr:row>3</xdr:row>
      <xdr:rowOff>161925</xdr:rowOff>
    </xdr:from>
    <xdr:to>
      <xdr:col>17</xdr:col>
      <xdr:colOff>450851</xdr:colOff>
      <xdr:row>36</xdr:row>
      <xdr:rowOff>149226</xdr:rowOff>
    </xdr:to>
    <xdr:sp macro="" textlink="">
      <xdr:nvSpPr>
        <xdr:cNvPr id="15702" name="Freeform: Shape 15701">
          <a:extLst>
            <a:ext uri="{FF2B5EF4-FFF2-40B4-BE49-F238E27FC236}">
              <a16:creationId xmlns:a16="http://schemas.microsoft.com/office/drawing/2014/main" id="{8C0E5A2B-9966-B4F5-546F-FA5D0568C516}"/>
            </a:ext>
          </a:extLst>
        </xdr:cNvPr>
        <xdr:cNvSpPr/>
      </xdr:nvSpPr>
      <xdr:spPr>
        <a:xfrm>
          <a:off x="11430000" y="952500"/>
          <a:ext cx="3175001" cy="6350001"/>
        </a:xfrm>
        <a:custGeom>
          <a:avLst/>
          <a:gdLst/>
          <a:ahLst/>
          <a:cxnLst/>
          <a:rect l="0" t="0" r="0" b="0"/>
          <a:pathLst>
            <a:path w="3175001" h="6350001">
              <a:moveTo>
                <a:pt x="0" y="0"/>
              </a:moveTo>
              <a:cubicBezTo>
                <a:pt x="1905000" y="635000"/>
                <a:pt x="3175000" y="5080000"/>
                <a:pt x="0" y="635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16</xdr:col>
      <xdr:colOff>12700</xdr:colOff>
      <xdr:row>15</xdr:row>
      <xdr:rowOff>114300</xdr:rowOff>
    </xdr:from>
    <xdr:to>
      <xdr:col>20</xdr:col>
      <xdr:colOff>114300</xdr:colOff>
      <xdr:row>18</xdr:row>
      <xdr:rowOff>50800</xdr:rowOff>
    </xdr:to>
    <xdr:sp macro="" textlink="">
      <xdr:nvSpPr>
        <xdr:cNvPr id="15703" name="Rectangle 15702">
          <a:extLst>
            <a:ext uri="{FF2B5EF4-FFF2-40B4-BE49-F238E27FC236}">
              <a16:creationId xmlns:a16="http://schemas.microsoft.com/office/drawing/2014/main" id="{5379B4FB-9B31-8FD0-5D58-C5A7E3715289}"/>
            </a:ext>
          </a:extLst>
        </xdr:cNvPr>
        <xdr:cNvSpPr/>
      </xdr:nvSpPr>
      <xdr:spPr>
        <a:xfrm>
          <a:off x="13557250" y="32385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 3'b001  &amp;&amp; !c </a:t>
          </a:r>
        </a:p>
      </xdr:txBody>
    </xdr:sp>
    <xdr:clientData/>
  </xdr:twoCellAnchor>
  <xdr:twoCellAnchor>
    <xdr:from>
      <xdr:col>12</xdr:col>
      <xdr:colOff>457200</xdr:colOff>
      <xdr:row>3</xdr:row>
      <xdr:rowOff>161925</xdr:rowOff>
    </xdr:from>
    <xdr:to>
      <xdr:col>18</xdr:col>
      <xdr:colOff>476251</xdr:colOff>
      <xdr:row>43</xdr:row>
      <xdr:rowOff>85726</xdr:rowOff>
    </xdr:to>
    <xdr:sp macro="" textlink="">
      <xdr:nvSpPr>
        <xdr:cNvPr id="15704" name="Freeform: Shape 15703">
          <a:extLst>
            <a:ext uri="{FF2B5EF4-FFF2-40B4-BE49-F238E27FC236}">
              <a16:creationId xmlns:a16="http://schemas.microsoft.com/office/drawing/2014/main" id="{4B0BF8B4-313F-CC8F-6ED1-1C30EB8810EE}"/>
            </a:ext>
          </a:extLst>
        </xdr:cNvPr>
        <xdr:cNvSpPr/>
      </xdr:nvSpPr>
      <xdr:spPr>
        <a:xfrm>
          <a:off x="11430000" y="952500"/>
          <a:ext cx="3810001" cy="7620001"/>
        </a:xfrm>
        <a:custGeom>
          <a:avLst/>
          <a:gdLst/>
          <a:ahLst/>
          <a:cxnLst/>
          <a:rect l="0" t="0" r="0" b="0"/>
          <a:pathLst>
            <a:path w="3810001" h="7620001">
              <a:moveTo>
                <a:pt x="0" y="0"/>
              </a:moveTo>
              <a:cubicBezTo>
                <a:pt x="2222500" y="762000"/>
                <a:pt x="3810000" y="6096000"/>
                <a:pt x="0" y="7620000"/>
              </a:cubicBezTo>
            </a:path>
          </a:pathLst>
        </a:custGeom>
        <a:ln w="19050"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69850</xdr:colOff>
      <xdr:row>18</xdr:row>
      <xdr:rowOff>0</xdr:rowOff>
    </xdr:from>
    <xdr:to>
      <xdr:col>21</xdr:col>
      <xdr:colOff>171450</xdr:colOff>
      <xdr:row>20</xdr:row>
      <xdr:rowOff>127000</xdr:rowOff>
    </xdr:to>
    <xdr:sp macro="" textlink="">
      <xdr:nvSpPr>
        <xdr:cNvPr id="15705" name="Rectangle 15704">
          <a:extLst>
            <a:ext uri="{FF2B5EF4-FFF2-40B4-BE49-F238E27FC236}">
              <a16:creationId xmlns:a16="http://schemas.microsoft.com/office/drawing/2014/main" id="{9595490C-1526-64E5-4A84-D427FD7D39FD}"/>
            </a:ext>
          </a:extLst>
        </xdr:cNvPr>
        <xdr:cNvSpPr/>
      </xdr:nvSpPr>
      <xdr:spPr>
        <a:xfrm>
          <a:off x="14224000" y="3695700"/>
          <a:ext cx="2540000" cy="508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>
              <a:solidFill>
                <a:srgbClr val="000000"/>
              </a:solidFill>
              <a:latin typeface="Arial" panose="020B0604020202020204" pitchFamily="34" charset="0"/>
            </a:rPr>
            <a:t>ain == 3'b101  &amp;&amp; b == 2'1 0  &amp;&amp;  c 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7EDEC-3880-44E7-9239-6BD2AF394FFF}">
  <sheetPr codeName="Sheet1"/>
  <dimension ref="A1:BK115"/>
  <sheetViews>
    <sheetView tabSelected="1" topLeftCell="A8" zoomScale="89" zoomScaleNormal="89" workbookViewId="0">
      <selection activeCell="H34" sqref="H34"/>
    </sheetView>
  </sheetViews>
  <sheetFormatPr defaultRowHeight="15" x14ac:dyDescent="0.25"/>
  <cols>
    <col min="1" max="1" width="5.7109375" bestFit="1" customWidth="1"/>
    <col min="2" max="2" width="18.5703125" bestFit="1" customWidth="1"/>
    <col min="3" max="3" width="21.5703125" style="3" customWidth="1"/>
    <col min="4" max="4" width="26" customWidth="1"/>
    <col min="5" max="5" width="12.28515625" customWidth="1"/>
    <col min="6" max="6" width="23.5703125" customWidth="1"/>
    <col min="7" max="7" width="12.42578125" customWidth="1"/>
    <col min="10" max="10" width="7.85546875" customWidth="1"/>
    <col min="15" max="15" width="11.140625" customWidth="1"/>
  </cols>
  <sheetData>
    <row r="1" spans="1:14" ht="30.75" customHeight="1" thickBot="1" x14ac:dyDescent="0.5">
      <c r="A1" s="22"/>
      <c r="B1" s="78" t="s">
        <v>52</v>
      </c>
      <c r="C1" s="79"/>
      <c r="D1" s="79"/>
      <c r="E1" s="79"/>
      <c r="F1" s="79"/>
      <c r="G1" s="80"/>
      <c r="I1" s="22"/>
      <c r="J1" s="75" t="s">
        <v>15</v>
      </c>
      <c r="K1" s="76"/>
      <c r="L1" s="76"/>
      <c r="M1" s="76"/>
      <c r="N1" s="77"/>
    </row>
    <row r="2" spans="1:14" ht="15.75" thickBot="1" x14ac:dyDescent="0.3">
      <c r="G2" s="19"/>
    </row>
    <row r="3" spans="1:14" ht="15.75" thickBot="1" x14ac:dyDescent="0.3">
      <c r="B3" s="13" t="s">
        <v>3</v>
      </c>
      <c r="C3" s="5" t="s">
        <v>4</v>
      </c>
      <c r="D3" s="41" t="s">
        <v>19</v>
      </c>
      <c r="E3" s="41" t="s">
        <v>25</v>
      </c>
      <c r="F3" s="41" t="s">
        <v>20</v>
      </c>
      <c r="G3" s="41" t="s">
        <v>26</v>
      </c>
    </row>
    <row r="4" spans="1:14" ht="15.75" thickBot="1" x14ac:dyDescent="0.3">
      <c r="B4" s="14" t="s">
        <v>0</v>
      </c>
      <c r="C4" s="15">
        <v>7</v>
      </c>
      <c r="D4" s="28" t="s">
        <v>27</v>
      </c>
      <c r="E4" s="45">
        <v>1</v>
      </c>
      <c r="F4" s="32" t="s">
        <v>21</v>
      </c>
      <c r="G4" s="60">
        <v>1</v>
      </c>
    </row>
    <row r="5" spans="1:14" ht="15.75" thickBot="1" x14ac:dyDescent="0.3">
      <c r="B5" s="14" t="s">
        <v>1</v>
      </c>
      <c r="C5" s="18">
        <v>4</v>
      </c>
      <c r="D5" s="30" t="s">
        <v>16</v>
      </c>
      <c r="E5" s="46">
        <v>2</v>
      </c>
      <c r="F5" s="12" t="s">
        <v>22</v>
      </c>
      <c r="G5" s="61">
        <v>2</v>
      </c>
    </row>
    <row r="6" spans="1:14" ht="15.75" thickBot="1" x14ac:dyDescent="0.3">
      <c r="B6" s="16" t="s">
        <v>2</v>
      </c>
      <c r="C6" s="17">
        <v>5</v>
      </c>
      <c r="D6" s="30" t="s">
        <v>17</v>
      </c>
      <c r="E6" s="46">
        <v>1</v>
      </c>
      <c r="F6" s="12" t="s">
        <v>23</v>
      </c>
      <c r="G6" s="61">
        <v>2</v>
      </c>
    </row>
    <row r="7" spans="1:14" ht="15.75" thickBot="1" x14ac:dyDescent="0.3">
      <c r="B7" s="8"/>
      <c r="C7" s="9"/>
      <c r="D7" s="44" t="s">
        <v>18</v>
      </c>
      <c r="E7" s="46">
        <v>5</v>
      </c>
      <c r="F7" s="12" t="s">
        <v>24</v>
      </c>
      <c r="G7" s="61">
        <v>3</v>
      </c>
      <c r="L7" s="2"/>
    </row>
    <row r="8" spans="1:14" ht="15.75" thickBot="1" x14ac:dyDescent="0.3">
      <c r="A8" s="11" t="s">
        <v>10</v>
      </c>
      <c r="B8" s="91" t="s">
        <v>5</v>
      </c>
      <c r="C8" s="92"/>
      <c r="D8" s="42" t="s">
        <v>49</v>
      </c>
      <c r="E8" s="46">
        <v>1</v>
      </c>
      <c r="F8" s="33" t="s">
        <v>50</v>
      </c>
      <c r="G8" s="61">
        <v>1</v>
      </c>
    </row>
    <row r="9" spans="1:14" x14ac:dyDescent="0.25">
      <c r="A9" s="10">
        <v>1</v>
      </c>
      <c r="B9" s="71" t="s">
        <v>11</v>
      </c>
      <c r="C9" s="72"/>
      <c r="D9" s="23"/>
      <c r="E9" s="46"/>
      <c r="F9" s="33"/>
      <c r="G9" s="61"/>
    </row>
    <row r="10" spans="1:14" x14ac:dyDescent="0.25">
      <c r="A10" s="6">
        <v>2</v>
      </c>
      <c r="B10" s="71" t="s">
        <v>12</v>
      </c>
      <c r="C10" s="72"/>
      <c r="D10" s="23"/>
      <c r="E10" s="46"/>
      <c r="F10" s="33"/>
      <c r="G10" s="61"/>
    </row>
    <row r="11" spans="1:14" x14ac:dyDescent="0.25">
      <c r="A11" s="6">
        <v>3</v>
      </c>
      <c r="B11" s="71" t="s">
        <v>13</v>
      </c>
      <c r="C11" s="72"/>
      <c r="D11" s="23"/>
      <c r="E11" s="46"/>
      <c r="F11" s="33"/>
      <c r="G11" s="61"/>
    </row>
    <row r="12" spans="1:14" x14ac:dyDescent="0.25">
      <c r="A12" s="6">
        <v>4</v>
      </c>
      <c r="B12" s="71" t="s">
        <v>44</v>
      </c>
      <c r="C12" s="72"/>
      <c r="D12" s="23" t="s">
        <v>8</v>
      </c>
      <c r="E12" s="46"/>
      <c r="F12" s="33"/>
      <c r="G12" s="61"/>
    </row>
    <row r="13" spans="1:14" x14ac:dyDescent="0.25">
      <c r="A13" s="6">
        <v>5</v>
      </c>
      <c r="B13" s="71" t="s">
        <v>45</v>
      </c>
      <c r="C13" s="72"/>
      <c r="D13" s="23"/>
      <c r="E13" s="46"/>
      <c r="F13" s="33"/>
      <c r="G13" s="61"/>
    </row>
    <row r="14" spans="1:14" x14ac:dyDescent="0.25">
      <c r="A14" s="6">
        <v>6</v>
      </c>
      <c r="B14" s="71" t="s">
        <v>53</v>
      </c>
      <c r="C14" s="72"/>
      <c r="D14" s="23"/>
      <c r="E14" s="46"/>
      <c r="F14" s="33"/>
      <c r="G14" s="61"/>
    </row>
    <row r="15" spans="1:14" x14ac:dyDescent="0.25">
      <c r="A15" s="6">
        <v>7</v>
      </c>
      <c r="B15" s="71" t="s">
        <v>54</v>
      </c>
      <c r="C15" s="72"/>
      <c r="D15" s="23"/>
      <c r="E15" s="46"/>
      <c r="F15" s="33"/>
      <c r="G15" s="61"/>
    </row>
    <row r="16" spans="1:14" x14ac:dyDescent="0.25">
      <c r="A16" s="6">
        <v>8</v>
      </c>
      <c r="B16" s="71"/>
      <c r="C16" s="72"/>
      <c r="D16" s="23"/>
      <c r="E16" s="46"/>
      <c r="F16" s="33"/>
      <c r="G16" s="61"/>
    </row>
    <row r="17" spans="1:14" x14ac:dyDescent="0.25">
      <c r="A17" s="6">
        <v>9</v>
      </c>
      <c r="B17" s="71"/>
      <c r="C17" s="72"/>
      <c r="D17" s="23"/>
      <c r="E17" s="46"/>
      <c r="F17" s="33"/>
      <c r="G17" s="61"/>
    </row>
    <row r="18" spans="1:14" x14ac:dyDescent="0.25">
      <c r="A18" s="6">
        <v>10</v>
      </c>
      <c r="B18" s="71"/>
      <c r="C18" s="72"/>
      <c r="D18" s="23"/>
      <c r="E18" s="46"/>
      <c r="F18" s="33"/>
      <c r="G18" s="61"/>
    </row>
    <row r="19" spans="1:14" x14ac:dyDescent="0.25">
      <c r="A19" s="6">
        <v>11</v>
      </c>
      <c r="B19" s="71"/>
      <c r="C19" s="72"/>
      <c r="D19" s="23"/>
      <c r="E19" s="46"/>
      <c r="F19" s="33"/>
      <c r="G19" s="61"/>
    </row>
    <row r="20" spans="1:14" x14ac:dyDescent="0.25">
      <c r="A20" s="6">
        <v>12</v>
      </c>
      <c r="B20" s="71"/>
      <c r="C20" s="72"/>
      <c r="D20" s="23"/>
      <c r="E20" s="46"/>
      <c r="F20" s="33"/>
      <c r="G20" s="61"/>
    </row>
    <row r="21" spans="1:14" x14ac:dyDescent="0.25">
      <c r="A21" s="6">
        <v>13</v>
      </c>
      <c r="B21" s="71"/>
      <c r="C21" s="72"/>
      <c r="D21" s="23"/>
      <c r="E21" s="46"/>
      <c r="F21" s="33"/>
      <c r="G21" s="61"/>
    </row>
    <row r="22" spans="1:14" x14ac:dyDescent="0.25">
      <c r="A22" s="6">
        <v>14</v>
      </c>
      <c r="B22" s="71"/>
      <c r="C22" s="72"/>
      <c r="D22" s="23"/>
      <c r="E22" s="46"/>
      <c r="F22" s="33"/>
      <c r="G22" s="61"/>
    </row>
    <row r="23" spans="1:14" x14ac:dyDescent="0.25">
      <c r="A23" s="6">
        <v>15</v>
      </c>
      <c r="B23" s="71"/>
      <c r="C23" s="72"/>
      <c r="D23" s="23"/>
      <c r="E23" s="46"/>
      <c r="F23" s="33"/>
      <c r="G23" s="61"/>
    </row>
    <row r="24" spans="1:14" x14ac:dyDescent="0.25">
      <c r="A24" s="6">
        <v>16</v>
      </c>
      <c r="B24" s="71"/>
      <c r="C24" s="72"/>
      <c r="D24" s="23"/>
      <c r="E24" s="46"/>
      <c r="F24" s="33"/>
      <c r="G24" s="61"/>
    </row>
    <row r="25" spans="1:14" x14ac:dyDescent="0.25">
      <c r="A25" s="6">
        <v>17</v>
      </c>
      <c r="B25" s="71"/>
      <c r="C25" s="72"/>
      <c r="D25" s="23"/>
      <c r="E25" s="46"/>
      <c r="F25" s="33"/>
      <c r="G25" s="61"/>
    </row>
    <row r="26" spans="1:14" x14ac:dyDescent="0.25">
      <c r="A26" s="6">
        <v>18</v>
      </c>
      <c r="B26" s="71"/>
      <c r="C26" s="72"/>
      <c r="D26" s="23"/>
      <c r="E26" s="46"/>
      <c r="F26" s="33"/>
      <c r="G26" s="61"/>
    </row>
    <row r="27" spans="1:14" x14ac:dyDescent="0.25">
      <c r="A27" s="6">
        <v>19</v>
      </c>
      <c r="B27" s="71"/>
      <c r="C27" s="72"/>
      <c r="D27" s="23"/>
      <c r="E27" s="46"/>
      <c r="F27" s="33"/>
      <c r="G27" s="61"/>
      <c r="N27" t="s">
        <v>8</v>
      </c>
    </row>
    <row r="28" spans="1:14" ht="15.75" thickBot="1" x14ac:dyDescent="0.3">
      <c r="A28" s="7">
        <v>20</v>
      </c>
      <c r="B28" s="93"/>
      <c r="C28" s="94"/>
      <c r="D28" s="43"/>
      <c r="E28" s="47"/>
      <c r="F28" s="63"/>
      <c r="G28" s="62"/>
    </row>
    <row r="29" spans="1:14" ht="15.75" thickBot="1" x14ac:dyDescent="0.3"/>
    <row r="30" spans="1:14" ht="15.75" thickBot="1" x14ac:dyDescent="0.3">
      <c r="A30" s="39"/>
      <c r="B30" s="18" t="s">
        <v>6</v>
      </c>
      <c r="C30" s="40" t="s">
        <v>7</v>
      </c>
      <c r="D30" s="81" t="s">
        <v>9</v>
      </c>
      <c r="E30" s="82"/>
    </row>
    <row r="31" spans="1:14" x14ac:dyDescent="0.25">
      <c r="A31" s="25">
        <v>1</v>
      </c>
      <c r="B31" s="29" t="s">
        <v>45</v>
      </c>
      <c r="C31" s="29" t="s">
        <v>11</v>
      </c>
      <c r="D31" s="83" t="s">
        <v>28</v>
      </c>
      <c r="E31" s="84"/>
    </row>
    <row r="32" spans="1:14" x14ac:dyDescent="0.25">
      <c r="A32" s="25">
        <v>2</v>
      </c>
      <c r="B32" s="30" t="s">
        <v>12</v>
      </c>
      <c r="C32" s="30" t="s">
        <v>12</v>
      </c>
      <c r="D32" s="85" t="s">
        <v>30</v>
      </c>
      <c r="E32" s="86"/>
    </row>
    <row r="33" spans="1:5" x14ac:dyDescent="0.25">
      <c r="A33" s="25">
        <v>3</v>
      </c>
      <c r="B33" s="30" t="s">
        <v>12</v>
      </c>
      <c r="C33" s="30" t="s">
        <v>13</v>
      </c>
      <c r="D33" s="85" t="s">
        <v>29</v>
      </c>
      <c r="E33" s="86"/>
    </row>
    <row r="34" spans="1:5" x14ac:dyDescent="0.25">
      <c r="A34" s="25">
        <v>4</v>
      </c>
      <c r="B34" s="30" t="s">
        <v>11</v>
      </c>
      <c r="C34" s="30" t="s">
        <v>13</v>
      </c>
      <c r="D34" s="87" t="s">
        <v>31</v>
      </c>
      <c r="E34" s="88"/>
    </row>
    <row r="35" spans="1:5" x14ac:dyDescent="0.25">
      <c r="A35" s="25">
        <v>5</v>
      </c>
      <c r="B35" s="30" t="s">
        <v>45</v>
      </c>
      <c r="C35" s="30" t="s">
        <v>44</v>
      </c>
      <c r="D35" s="89" t="s">
        <v>32</v>
      </c>
      <c r="E35" s="90"/>
    </row>
    <row r="36" spans="1:5" x14ac:dyDescent="0.25">
      <c r="A36" s="25">
        <v>6</v>
      </c>
      <c r="B36" s="30" t="s">
        <v>11</v>
      </c>
      <c r="C36" s="30" t="s">
        <v>44</v>
      </c>
      <c r="D36" s="69" t="s">
        <v>28</v>
      </c>
      <c r="E36" s="70"/>
    </row>
    <row r="37" spans="1:5" x14ac:dyDescent="0.25">
      <c r="A37" s="25">
        <v>7</v>
      </c>
      <c r="B37" s="30" t="s">
        <v>11</v>
      </c>
      <c r="C37" s="30" t="s">
        <v>45</v>
      </c>
      <c r="D37" s="85" t="s">
        <v>48</v>
      </c>
      <c r="E37" s="86"/>
    </row>
    <row r="38" spans="1:5" x14ac:dyDescent="0.25">
      <c r="A38" s="25">
        <v>8</v>
      </c>
      <c r="B38" s="30"/>
      <c r="C38" s="30"/>
      <c r="D38" s="85" t="s">
        <v>29</v>
      </c>
      <c r="E38" s="86"/>
    </row>
    <row r="39" spans="1:5" x14ac:dyDescent="0.25">
      <c r="A39" s="25">
        <v>9</v>
      </c>
      <c r="B39" s="30"/>
      <c r="C39" s="30"/>
      <c r="D39" s="69" t="s">
        <v>28</v>
      </c>
      <c r="E39" s="70"/>
    </row>
    <row r="40" spans="1:5" x14ac:dyDescent="0.25">
      <c r="A40" s="25">
        <v>10</v>
      </c>
      <c r="B40" s="66"/>
      <c r="C40" s="66"/>
      <c r="D40" s="69" t="s">
        <v>28</v>
      </c>
      <c r="E40" s="70"/>
    </row>
    <row r="41" spans="1:5" x14ac:dyDescent="0.25">
      <c r="A41" s="25">
        <v>11</v>
      </c>
      <c r="B41" s="30"/>
      <c r="C41" s="23"/>
      <c r="D41" s="73"/>
      <c r="E41" s="74"/>
    </row>
    <row r="42" spans="1:5" x14ac:dyDescent="0.25">
      <c r="A42" s="25">
        <v>12</v>
      </c>
      <c r="B42" s="30"/>
      <c r="C42" s="23"/>
      <c r="D42" s="73"/>
      <c r="E42" s="74"/>
    </row>
    <row r="43" spans="1:5" x14ac:dyDescent="0.25">
      <c r="A43" s="25">
        <v>13</v>
      </c>
      <c r="B43" s="30"/>
      <c r="C43" s="64"/>
      <c r="D43" s="73"/>
      <c r="E43" s="74"/>
    </row>
    <row r="44" spans="1:5" x14ac:dyDescent="0.25">
      <c r="A44" s="25">
        <v>14</v>
      </c>
      <c r="B44" s="30"/>
      <c r="C44" s="64"/>
      <c r="D44" s="73"/>
      <c r="E44" s="74"/>
    </row>
    <row r="45" spans="1:5" x14ac:dyDescent="0.25">
      <c r="A45" s="25">
        <v>15</v>
      </c>
      <c r="B45" s="30"/>
      <c r="C45" s="64"/>
      <c r="D45" s="73"/>
      <c r="E45" s="74"/>
    </row>
    <row r="46" spans="1:5" x14ac:dyDescent="0.25">
      <c r="A46" s="25">
        <v>16</v>
      </c>
      <c r="B46" s="30"/>
      <c r="C46" s="64"/>
      <c r="D46" s="73"/>
      <c r="E46" s="74"/>
    </row>
    <row r="47" spans="1:5" x14ac:dyDescent="0.25">
      <c r="A47" s="25">
        <v>17</v>
      </c>
      <c r="B47" s="30"/>
      <c r="C47" s="64"/>
      <c r="D47" s="73"/>
      <c r="E47" s="74"/>
    </row>
    <row r="48" spans="1:5" x14ac:dyDescent="0.25">
      <c r="A48" s="25">
        <v>18</v>
      </c>
      <c r="B48" s="30"/>
      <c r="C48" s="64"/>
      <c r="D48" s="73"/>
      <c r="E48" s="74"/>
    </row>
    <row r="49" spans="1:63" x14ac:dyDescent="0.25">
      <c r="A49" s="25">
        <v>19</v>
      </c>
      <c r="B49" s="30"/>
      <c r="C49" s="64"/>
      <c r="D49" s="73"/>
      <c r="E49" s="74"/>
    </row>
    <row r="50" spans="1:63" x14ac:dyDescent="0.25">
      <c r="A50" s="25">
        <v>20</v>
      </c>
      <c r="B50" s="30"/>
      <c r="C50" s="64"/>
      <c r="D50" s="95"/>
      <c r="E50" s="96"/>
    </row>
    <row r="51" spans="1:63" ht="14.25" customHeight="1" x14ac:dyDescent="0.25">
      <c r="A51" s="25">
        <v>21</v>
      </c>
      <c r="B51" s="30"/>
      <c r="C51" s="64"/>
      <c r="D51" s="95"/>
      <c r="E51" s="96"/>
      <c r="O51" s="34"/>
      <c r="P51" s="34"/>
      <c r="Q51" s="34"/>
      <c r="R51" s="34"/>
      <c r="S51" s="34"/>
      <c r="T51" s="34"/>
      <c r="U51" s="34"/>
      <c r="V51" s="34"/>
      <c r="W51" s="34"/>
      <c r="X51" s="34"/>
    </row>
    <row r="52" spans="1:63" x14ac:dyDescent="0.25">
      <c r="A52" s="25">
        <v>22</v>
      </c>
      <c r="B52" s="30"/>
      <c r="C52" s="64"/>
      <c r="D52" s="95"/>
      <c r="E52" s="96"/>
      <c r="O52" s="34"/>
      <c r="P52" s="34"/>
      <c r="Q52" s="34"/>
      <c r="R52" s="34"/>
      <c r="S52" s="34"/>
      <c r="T52" s="34"/>
      <c r="U52" s="34"/>
      <c r="V52" s="34"/>
      <c r="W52" s="34"/>
      <c r="X52" s="34"/>
    </row>
    <row r="53" spans="1:63" x14ac:dyDescent="0.25">
      <c r="A53" s="25">
        <v>23</v>
      </c>
      <c r="B53" s="30"/>
      <c r="C53" s="64"/>
      <c r="D53" s="95"/>
      <c r="E53" s="96"/>
      <c r="O53" s="34"/>
      <c r="P53" s="34"/>
      <c r="Q53" s="34"/>
      <c r="R53" s="34"/>
      <c r="S53" s="34"/>
      <c r="T53" s="34"/>
      <c r="U53" s="34"/>
      <c r="V53" s="34"/>
      <c r="W53" s="34"/>
      <c r="X53" s="34"/>
    </row>
    <row r="54" spans="1:63" x14ac:dyDescent="0.25">
      <c r="A54" s="25">
        <v>24</v>
      </c>
      <c r="B54" s="30"/>
      <c r="C54" s="64"/>
      <c r="D54" s="95"/>
      <c r="E54" s="96"/>
      <c r="O54" s="34"/>
      <c r="P54" s="34"/>
      <c r="Q54" s="34"/>
      <c r="R54" s="34"/>
      <c r="S54" s="34"/>
      <c r="T54" s="34"/>
      <c r="U54" s="34"/>
      <c r="V54" s="34"/>
      <c r="W54" s="34"/>
      <c r="X54" s="34"/>
    </row>
    <row r="55" spans="1:63" x14ac:dyDescent="0.25">
      <c r="A55" s="25">
        <v>25</v>
      </c>
      <c r="B55" s="30"/>
      <c r="C55" s="64"/>
      <c r="D55" s="95"/>
      <c r="E55" s="96"/>
      <c r="O55" s="34"/>
      <c r="P55" s="34"/>
      <c r="Q55" s="34"/>
      <c r="R55" s="34"/>
      <c r="S55" s="34"/>
      <c r="T55" s="34"/>
      <c r="U55" s="34"/>
      <c r="V55" s="34"/>
      <c r="W55" s="34"/>
      <c r="X55" s="34"/>
    </row>
    <row r="56" spans="1:63" x14ac:dyDescent="0.25">
      <c r="A56" s="25">
        <v>26</v>
      </c>
      <c r="B56" s="30"/>
      <c r="C56" s="64"/>
      <c r="D56" s="95"/>
      <c r="E56" s="96"/>
      <c r="O56" s="34"/>
      <c r="P56" s="34"/>
      <c r="Q56" s="34"/>
      <c r="R56" s="34"/>
      <c r="S56" s="34"/>
      <c r="T56" s="34"/>
      <c r="U56" s="34"/>
      <c r="V56" s="34"/>
      <c r="W56" s="34"/>
      <c r="X56" s="34"/>
    </row>
    <row r="57" spans="1:63" x14ac:dyDescent="0.25">
      <c r="A57" s="25">
        <v>27</v>
      </c>
      <c r="B57" s="30"/>
      <c r="C57" s="64"/>
      <c r="D57" s="95"/>
      <c r="E57" s="96"/>
      <c r="O57" s="34"/>
      <c r="P57" s="34"/>
      <c r="Q57" s="34"/>
      <c r="R57" s="34"/>
      <c r="S57" s="34"/>
      <c r="T57" s="34"/>
      <c r="U57" s="34"/>
      <c r="V57" s="34"/>
      <c r="W57" s="34"/>
      <c r="X57" s="34"/>
    </row>
    <row r="58" spans="1:63" x14ac:dyDescent="0.25">
      <c r="A58" s="25">
        <v>28</v>
      </c>
      <c r="B58" s="30"/>
      <c r="C58" s="64"/>
      <c r="D58" s="95"/>
      <c r="E58" s="96"/>
      <c r="O58" s="34"/>
      <c r="P58" s="34"/>
      <c r="Q58" s="34"/>
      <c r="R58" s="34"/>
      <c r="S58" s="34"/>
      <c r="T58" s="34"/>
      <c r="U58" s="34"/>
      <c r="V58" s="34"/>
      <c r="W58" s="34"/>
      <c r="X58" s="34"/>
    </row>
    <row r="59" spans="1:63" x14ac:dyDescent="0.25">
      <c r="A59" s="25">
        <v>29</v>
      </c>
      <c r="B59" s="30"/>
      <c r="C59" s="64"/>
      <c r="D59" s="95"/>
      <c r="E59" s="96"/>
      <c r="O59" s="34"/>
      <c r="P59" s="34"/>
      <c r="Q59" s="34"/>
      <c r="R59" s="34"/>
      <c r="S59" s="34"/>
      <c r="T59" s="34"/>
      <c r="U59" s="34"/>
      <c r="V59" s="34"/>
      <c r="W59" s="34"/>
      <c r="X59" s="34"/>
    </row>
    <row r="60" spans="1:63" ht="15.75" thickBot="1" x14ac:dyDescent="0.3">
      <c r="A60" s="26">
        <v>30</v>
      </c>
      <c r="B60" s="31"/>
      <c r="C60" s="65"/>
      <c r="D60" s="97"/>
      <c r="E60" s="98"/>
      <c r="O60" s="34"/>
      <c r="P60" s="34"/>
      <c r="Q60" s="34"/>
      <c r="R60" s="34"/>
      <c r="S60" s="34"/>
      <c r="T60" s="34"/>
      <c r="U60" s="34"/>
      <c r="V60" s="34"/>
      <c r="W60" s="34"/>
      <c r="X60" s="34"/>
    </row>
    <row r="61" spans="1:63" ht="15.75" thickBot="1" x14ac:dyDescent="0.3">
      <c r="O61" s="34"/>
      <c r="P61" s="34"/>
      <c r="Q61" s="34"/>
      <c r="R61" s="34"/>
      <c r="S61" s="34"/>
      <c r="T61" s="34"/>
      <c r="U61" s="34"/>
      <c r="V61" s="34"/>
      <c r="W61" s="34"/>
      <c r="X61" s="34"/>
    </row>
    <row r="62" spans="1:63" ht="15.75" thickBot="1" x14ac:dyDescent="0.3">
      <c r="A62" s="100" t="s">
        <v>10</v>
      </c>
      <c r="B62" s="116" t="s">
        <v>5</v>
      </c>
      <c r="C62" s="117"/>
      <c r="D62" s="113" t="s">
        <v>33</v>
      </c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5"/>
    </row>
    <row r="63" spans="1:63" ht="15.75" thickBot="1" x14ac:dyDescent="0.3">
      <c r="A63" s="101"/>
      <c r="B63" s="118"/>
      <c r="C63" s="119"/>
      <c r="D63" s="14" t="str">
        <f>F4</f>
        <v>a_out</v>
      </c>
      <c r="E63" s="59" t="str">
        <f>(F5)</f>
        <v>b_out</v>
      </c>
      <c r="F63" s="59" t="str">
        <f>F6</f>
        <v>c_out</v>
      </c>
      <c r="G63" s="59" t="str">
        <f>F7</f>
        <v>d_out</v>
      </c>
      <c r="H63" s="48" t="str">
        <f>F8</f>
        <v>e_out</v>
      </c>
      <c r="I63" s="49">
        <f>F9</f>
        <v>0</v>
      </c>
      <c r="J63" s="48">
        <f>F10</f>
        <v>0</v>
      </c>
      <c r="K63" s="49">
        <f>F11</f>
        <v>0</v>
      </c>
      <c r="L63" s="48">
        <f>F12</f>
        <v>0</v>
      </c>
      <c r="M63" s="49">
        <f>F13</f>
        <v>0</v>
      </c>
      <c r="N63" s="48">
        <f>F14</f>
        <v>0</v>
      </c>
      <c r="O63" s="49">
        <f>F15</f>
        <v>0</v>
      </c>
      <c r="P63" s="48">
        <f>F16</f>
        <v>0</v>
      </c>
      <c r="Q63" s="49">
        <f>F17</f>
        <v>0</v>
      </c>
      <c r="R63" s="48">
        <f>F18</f>
        <v>0</v>
      </c>
      <c r="S63" s="49">
        <f>F19</f>
        <v>0</v>
      </c>
      <c r="T63" s="48">
        <f>F20</f>
        <v>0</v>
      </c>
      <c r="U63" s="49">
        <f>F21</f>
        <v>0</v>
      </c>
      <c r="V63" s="48">
        <f>F22</f>
        <v>0</v>
      </c>
      <c r="W63" s="53">
        <f>F23</f>
        <v>0</v>
      </c>
      <c r="X63" s="54">
        <f>F24</f>
        <v>0</v>
      </c>
      <c r="Y63" s="27">
        <f>F25</f>
        <v>0</v>
      </c>
      <c r="Z63" s="27">
        <f>F26</f>
        <v>0</v>
      </c>
      <c r="AA63" s="27">
        <f>F27</f>
        <v>0</v>
      </c>
      <c r="AB63" s="27">
        <f>F28</f>
        <v>0</v>
      </c>
      <c r="BK63" t="s">
        <v>23</v>
      </c>
    </row>
    <row r="64" spans="1:63" x14ac:dyDescent="0.25">
      <c r="A64" s="10">
        <v>1</v>
      </c>
      <c r="B64" s="71" t="s">
        <v>14</v>
      </c>
      <c r="C64" s="99"/>
      <c r="D64" s="58" t="s">
        <v>34</v>
      </c>
      <c r="E64" s="4" t="s">
        <v>36</v>
      </c>
      <c r="F64" s="4" t="s">
        <v>36</v>
      </c>
      <c r="G64" s="24" t="s">
        <v>40</v>
      </c>
      <c r="H64" s="68" t="s">
        <v>34</v>
      </c>
      <c r="I64" s="4"/>
      <c r="J64" s="4"/>
      <c r="K64" s="4"/>
      <c r="L64" s="4"/>
      <c r="M64" s="4"/>
      <c r="N64" s="4"/>
      <c r="O64" s="36"/>
      <c r="P64" s="36"/>
      <c r="Q64" s="36"/>
      <c r="R64" s="36"/>
      <c r="S64" s="36"/>
      <c r="T64" s="36"/>
      <c r="U64" s="36"/>
      <c r="V64" s="36"/>
      <c r="W64" s="50"/>
      <c r="X64" s="36"/>
      <c r="Y64" s="4"/>
      <c r="Z64" s="4"/>
      <c r="AA64" s="4"/>
      <c r="AB64" s="55"/>
    </row>
    <row r="65" spans="1:28" x14ac:dyDescent="0.25">
      <c r="A65" s="6">
        <v>2</v>
      </c>
      <c r="B65" s="71" t="s">
        <v>11</v>
      </c>
      <c r="C65" s="99"/>
      <c r="D65" s="58" t="s">
        <v>35</v>
      </c>
      <c r="E65" s="1" t="s">
        <v>37</v>
      </c>
      <c r="F65" s="1" t="s">
        <v>37</v>
      </c>
      <c r="G65" s="67" t="s">
        <v>41</v>
      </c>
      <c r="H65" s="4" t="s">
        <v>35</v>
      </c>
      <c r="I65" s="1"/>
      <c r="J65" s="1"/>
      <c r="K65" s="1"/>
      <c r="L65" s="1"/>
      <c r="M65" s="1"/>
      <c r="N65" s="1"/>
      <c r="O65" s="35"/>
      <c r="P65" s="35"/>
      <c r="Q65" s="35"/>
      <c r="R65" s="35"/>
      <c r="S65" s="35"/>
      <c r="T65" s="35"/>
      <c r="U65" s="35"/>
      <c r="V65" s="35"/>
      <c r="W65" s="51"/>
      <c r="X65" s="35"/>
      <c r="Y65" s="1"/>
      <c r="Z65" s="1"/>
      <c r="AA65" s="1"/>
      <c r="AB65" s="56"/>
    </row>
    <row r="66" spans="1:28" x14ac:dyDescent="0.25">
      <c r="A66" s="6">
        <v>3</v>
      </c>
      <c r="B66" s="71" t="s">
        <v>12</v>
      </c>
      <c r="C66" s="99"/>
      <c r="D66" s="58" t="s">
        <v>35</v>
      </c>
      <c r="E66" s="1" t="s">
        <v>38</v>
      </c>
      <c r="F66" s="1" t="s">
        <v>38</v>
      </c>
      <c r="G66" s="67" t="s">
        <v>42</v>
      </c>
      <c r="H66" s="4" t="s">
        <v>35</v>
      </c>
      <c r="I66" s="1"/>
      <c r="J66" s="1"/>
      <c r="K66" s="1"/>
      <c r="L66" s="1"/>
      <c r="M66" s="1"/>
      <c r="N66" s="1"/>
      <c r="O66" s="35"/>
      <c r="P66" s="35"/>
      <c r="Q66" s="35"/>
      <c r="R66" s="35"/>
      <c r="S66" s="35"/>
      <c r="T66" s="35"/>
      <c r="U66" s="35"/>
      <c r="V66" s="35"/>
      <c r="W66" s="51"/>
      <c r="X66" s="35"/>
      <c r="Y66" s="1"/>
      <c r="Z66" s="1"/>
      <c r="AA66" s="1"/>
      <c r="AB66" s="56"/>
    </row>
    <row r="67" spans="1:28" x14ac:dyDescent="0.25">
      <c r="A67" s="6">
        <v>4</v>
      </c>
      <c r="B67" s="71" t="s">
        <v>13</v>
      </c>
      <c r="C67" s="99"/>
      <c r="D67" s="58" t="s">
        <v>34</v>
      </c>
      <c r="E67" s="1" t="s">
        <v>39</v>
      </c>
      <c r="F67" s="1" t="s">
        <v>39</v>
      </c>
      <c r="G67" s="67" t="s">
        <v>43</v>
      </c>
      <c r="H67" s="4" t="s">
        <v>34</v>
      </c>
      <c r="I67" s="1"/>
      <c r="J67" s="1"/>
      <c r="K67" s="1"/>
      <c r="L67" s="1"/>
      <c r="M67" s="1"/>
      <c r="N67" s="1"/>
      <c r="O67" s="35"/>
      <c r="P67" s="35"/>
      <c r="Q67" s="35"/>
      <c r="R67" s="35"/>
      <c r="S67" s="35"/>
      <c r="T67" s="35"/>
      <c r="U67" s="35"/>
      <c r="V67" s="35"/>
      <c r="W67" s="51"/>
      <c r="X67" s="35"/>
      <c r="Y67" s="1"/>
      <c r="Z67" s="1"/>
      <c r="AA67" s="1"/>
      <c r="AB67" s="56"/>
    </row>
    <row r="68" spans="1:28" x14ac:dyDescent="0.25">
      <c r="A68" s="6">
        <v>5</v>
      </c>
      <c r="B68" s="71" t="str">
        <f>B13</f>
        <v>State_5</v>
      </c>
      <c r="C68" s="99"/>
      <c r="D68" s="58" t="s">
        <v>34</v>
      </c>
      <c r="E68" s="1" t="s">
        <v>37</v>
      </c>
      <c r="F68" s="4" t="s">
        <v>36</v>
      </c>
      <c r="G68" s="67" t="s">
        <v>41</v>
      </c>
      <c r="H68" s="4" t="s">
        <v>34</v>
      </c>
      <c r="I68" s="1"/>
      <c r="J68" s="1"/>
      <c r="K68" s="1"/>
      <c r="L68" s="1"/>
      <c r="M68" s="1"/>
      <c r="N68" s="1"/>
      <c r="O68" s="35"/>
      <c r="P68" s="35"/>
      <c r="Q68" s="35"/>
      <c r="R68" s="35"/>
      <c r="S68" s="35"/>
      <c r="T68" s="35"/>
      <c r="U68" s="35"/>
      <c r="V68" s="35"/>
      <c r="W68" s="51"/>
      <c r="X68" s="35"/>
      <c r="Y68" s="1"/>
      <c r="Z68" s="1"/>
      <c r="AA68" s="1"/>
      <c r="AB68" s="56"/>
    </row>
    <row r="69" spans="1:28" x14ac:dyDescent="0.25">
      <c r="A69" s="6">
        <v>6</v>
      </c>
      <c r="B69" s="71" t="str">
        <f>B15</f>
        <v>State_7</v>
      </c>
      <c r="C69" s="99"/>
      <c r="D69" s="58" t="s">
        <v>35</v>
      </c>
      <c r="E69" s="1" t="s">
        <v>38</v>
      </c>
      <c r="F69" s="1" t="s">
        <v>37</v>
      </c>
      <c r="G69" s="67" t="s">
        <v>46</v>
      </c>
      <c r="H69" s="4" t="s">
        <v>35</v>
      </c>
      <c r="I69" s="1"/>
      <c r="J69" s="1"/>
      <c r="K69" s="1"/>
      <c r="L69" s="1"/>
      <c r="M69" s="1"/>
      <c r="N69" s="1"/>
      <c r="O69" s="35"/>
      <c r="P69" s="35"/>
      <c r="Q69" s="35"/>
      <c r="R69" s="35"/>
      <c r="S69" s="35"/>
      <c r="T69" s="35"/>
      <c r="U69" s="35"/>
      <c r="V69" s="35"/>
      <c r="W69" s="51"/>
      <c r="X69" s="35"/>
      <c r="Y69" s="1"/>
      <c r="Z69" s="1"/>
      <c r="AA69" s="1"/>
      <c r="AB69" s="56"/>
    </row>
    <row r="70" spans="1:28" x14ac:dyDescent="0.25">
      <c r="A70" s="6">
        <v>7</v>
      </c>
      <c r="B70" s="71" t="e">
        <f>#REF!</f>
        <v>#REF!</v>
      </c>
      <c r="C70" s="99"/>
      <c r="D70" s="58" t="s">
        <v>35</v>
      </c>
      <c r="E70" s="1" t="s">
        <v>39</v>
      </c>
      <c r="F70" s="1" t="s">
        <v>38</v>
      </c>
      <c r="G70" s="67" t="s">
        <v>47</v>
      </c>
      <c r="H70" s="4" t="s">
        <v>35</v>
      </c>
      <c r="I70" s="1"/>
      <c r="J70" s="1"/>
      <c r="K70" s="1"/>
      <c r="L70" s="1"/>
      <c r="M70" s="1"/>
      <c r="N70" s="1"/>
      <c r="O70" s="35"/>
      <c r="P70" s="35"/>
      <c r="Q70" s="35"/>
      <c r="R70" s="35"/>
      <c r="S70" s="35"/>
      <c r="T70" s="35"/>
      <c r="U70" s="35"/>
      <c r="V70" s="35"/>
      <c r="W70" s="51"/>
      <c r="X70" s="35"/>
      <c r="Y70" s="1"/>
      <c r="Z70" s="1"/>
      <c r="AA70" s="1"/>
      <c r="AB70" s="56"/>
    </row>
    <row r="71" spans="1:28" x14ac:dyDescent="0.25">
      <c r="A71" s="6">
        <v>8</v>
      </c>
      <c r="B71" s="71">
        <f>B16</f>
        <v>0</v>
      </c>
      <c r="C71" s="99"/>
      <c r="D71" s="58"/>
      <c r="E71" s="1"/>
      <c r="F71" s="1"/>
      <c r="G71" s="1"/>
      <c r="H71" s="1"/>
      <c r="I71" s="1"/>
      <c r="J71" s="1"/>
      <c r="K71" s="1"/>
      <c r="L71" s="1"/>
      <c r="M71" s="1"/>
      <c r="N71" s="1"/>
      <c r="O71" s="35"/>
      <c r="P71" s="35"/>
      <c r="Q71" s="35"/>
      <c r="R71" s="35"/>
      <c r="S71" s="35"/>
      <c r="T71" s="35"/>
      <c r="U71" s="35"/>
      <c r="V71" s="35"/>
      <c r="W71" s="51"/>
      <c r="X71" s="35"/>
      <c r="Y71" s="1"/>
      <c r="Z71" s="1"/>
      <c r="AA71" s="1"/>
      <c r="AB71" s="56"/>
    </row>
    <row r="72" spans="1:28" x14ac:dyDescent="0.25">
      <c r="A72" s="6">
        <v>9</v>
      </c>
      <c r="B72" s="71">
        <f t="shared" ref="B72:B83" si="0">B17</f>
        <v>0</v>
      </c>
      <c r="C72" s="99"/>
      <c r="D72" s="20"/>
      <c r="E72" s="1"/>
      <c r="F72" s="1"/>
      <c r="G72" s="1"/>
      <c r="H72" s="1"/>
      <c r="I72" s="1"/>
      <c r="J72" s="1"/>
      <c r="K72" s="1"/>
      <c r="L72" s="1"/>
      <c r="M72" s="1"/>
      <c r="N72" s="1"/>
      <c r="O72" s="35"/>
      <c r="P72" s="35"/>
      <c r="Q72" s="35"/>
      <c r="R72" s="35"/>
      <c r="S72" s="35"/>
      <c r="T72" s="35"/>
      <c r="U72" s="35"/>
      <c r="V72" s="35"/>
      <c r="W72" s="51"/>
      <c r="X72" s="35"/>
      <c r="Y72" s="1"/>
      <c r="Z72" s="1"/>
      <c r="AA72" s="1"/>
      <c r="AB72" s="56"/>
    </row>
    <row r="73" spans="1:28" x14ac:dyDescent="0.25">
      <c r="A73" s="6">
        <v>10</v>
      </c>
      <c r="B73" s="71">
        <f t="shared" si="0"/>
        <v>0</v>
      </c>
      <c r="C73" s="99"/>
      <c r="D73" s="20"/>
      <c r="E73" s="1"/>
      <c r="F73" s="1"/>
      <c r="G73" s="1"/>
      <c r="H73" s="1"/>
      <c r="I73" s="1"/>
      <c r="J73" s="1"/>
      <c r="K73" s="1"/>
      <c r="L73" s="1"/>
      <c r="M73" s="1"/>
      <c r="N73" s="1"/>
      <c r="O73" s="35"/>
      <c r="P73" s="35"/>
      <c r="Q73" s="35"/>
      <c r="R73" s="35"/>
      <c r="S73" s="35"/>
      <c r="T73" s="35"/>
      <c r="U73" s="35"/>
      <c r="V73" s="35"/>
      <c r="W73" s="51"/>
      <c r="X73" s="35"/>
      <c r="Y73" s="1"/>
      <c r="Z73" s="1"/>
      <c r="AA73" s="1"/>
      <c r="AB73" s="56"/>
    </row>
    <row r="74" spans="1:28" x14ac:dyDescent="0.25">
      <c r="A74" s="6">
        <v>11</v>
      </c>
      <c r="B74" s="71">
        <f t="shared" si="0"/>
        <v>0</v>
      </c>
      <c r="C74" s="99"/>
      <c r="D74" s="20"/>
      <c r="E74" s="1"/>
      <c r="F74" s="1"/>
      <c r="G74" s="1"/>
      <c r="H74" s="1"/>
      <c r="I74" s="1"/>
      <c r="J74" s="1"/>
      <c r="K74" s="1"/>
      <c r="L74" s="1"/>
      <c r="M74" s="1"/>
      <c r="N74" s="1"/>
      <c r="O74" s="35"/>
      <c r="P74" s="35"/>
      <c r="Q74" s="35"/>
      <c r="R74" s="35"/>
      <c r="S74" s="35"/>
      <c r="T74" s="35"/>
      <c r="U74" s="35"/>
      <c r="V74" s="35"/>
      <c r="W74" s="51"/>
      <c r="X74" s="35"/>
      <c r="Y74" s="1"/>
      <c r="Z74" s="1"/>
      <c r="AA74" s="1"/>
      <c r="AB74" s="56"/>
    </row>
    <row r="75" spans="1:28" x14ac:dyDescent="0.25">
      <c r="A75" s="6">
        <v>12</v>
      </c>
      <c r="B75" s="71">
        <f t="shared" si="0"/>
        <v>0</v>
      </c>
      <c r="C75" s="99"/>
      <c r="D75" s="20"/>
      <c r="E75" s="1"/>
      <c r="F75" s="1"/>
      <c r="G75" s="1"/>
      <c r="H75" s="1"/>
      <c r="I75" s="1"/>
      <c r="J75" s="1"/>
      <c r="K75" s="1"/>
      <c r="L75" s="1"/>
      <c r="M75" s="1"/>
      <c r="N75" s="1"/>
      <c r="O75" s="35"/>
      <c r="P75" s="35"/>
      <c r="Q75" s="35"/>
      <c r="R75" s="35"/>
      <c r="S75" s="35"/>
      <c r="T75" s="35"/>
      <c r="U75" s="35"/>
      <c r="V75" s="35"/>
      <c r="W75" s="51"/>
      <c r="X75" s="35"/>
      <c r="Y75" s="1"/>
      <c r="Z75" s="1"/>
      <c r="AA75" s="1"/>
      <c r="AB75" s="56"/>
    </row>
    <row r="76" spans="1:28" x14ac:dyDescent="0.25">
      <c r="A76" s="6">
        <v>13</v>
      </c>
      <c r="B76" s="71">
        <f t="shared" si="0"/>
        <v>0</v>
      </c>
      <c r="C76" s="99"/>
      <c r="D76" s="20"/>
      <c r="E76" s="1"/>
      <c r="F76" s="1"/>
      <c r="G76" s="1"/>
      <c r="H76" s="1"/>
      <c r="I76" s="1"/>
      <c r="J76" s="1"/>
      <c r="K76" s="1"/>
      <c r="L76" s="1"/>
      <c r="M76" s="1"/>
      <c r="N76" s="1"/>
      <c r="O76" s="35"/>
      <c r="P76" s="35"/>
      <c r="Q76" s="35"/>
      <c r="R76" s="35"/>
      <c r="S76" s="35"/>
      <c r="T76" s="35"/>
      <c r="U76" s="35"/>
      <c r="V76" s="35"/>
      <c r="W76" s="51"/>
      <c r="X76" s="35"/>
      <c r="Y76" s="1"/>
      <c r="Z76" s="1"/>
      <c r="AA76" s="1"/>
      <c r="AB76" s="56"/>
    </row>
    <row r="77" spans="1:28" x14ac:dyDescent="0.25">
      <c r="A77" s="6">
        <v>14</v>
      </c>
      <c r="B77" s="71">
        <f t="shared" si="0"/>
        <v>0</v>
      </c>
      <c r="C77" s="99"/>
      <c r="D77" s="20"/>
      <c r="E77" s="1"/>
      <c r="F77" s="1"/>
      <c r="G77" s="1"/>
      <c r="H77" s="1"/>
      <c r="I77" s="1"/>
      <c r="J77" s="1"/>
      <c r="K77" s="1"/>
      <c r="L77" s="1"/>
      <c r="M77" s="1"/>
      <c r="N77" s="1"/>
      <c r="O77" s="35"/>
      <c r="P77" s="35"/>
      <c r="Q77" s="35"/>
      <c r="R77" s="35"/>
      <c r="S77" s="35"/>
      <c r="T77" s="35"/>
      <c r="U77" s="35"/>
      <c r="V77" s="35"/>
      <c r="W77" s="51"/>
      <c r="X77" s="35"/>
      <c r="Y77" s="1"/>
      <c r="Z77" s="1"/>
      <c r="AA77" s="1"/>
      <c r="AB77" s="56"/>
    </row>
    <row r="78" spans="1:28" x14ac:dyDescent="0.25">
      <c r="A78" s="6">
        <v>15</v>
      </c>
      <c r="B78" s="71">
        <f t="shared" si="0"/>
        <v>0</v>
      </c>
      <c r="C78" s="99"/>
      <c r="D78" s="20"/>
      <c r="E78" s="1"/>
      <c r="F78" s="1"/>
      <c r="G78" s="1"/>
      <c r="H78" s="1"/>
      <c r="I78" s="1"/>
      <c r="J78" s="1"/>
      <c r="K78" s="1"/>
      <c r="L78" s="1"/>
      <c r="M78" s="1"/>
      <c r="N78" s="1"/>
      <c r="O78" s="35"/>
      <c r="P78" s="35"/>
      <c r="Q78" s="35"/>
      <c r="R78" s="35"/>
      <c r="S78" s="35"/>
      <c r="T78" s="35"/>
      <c r="U78" s="35"/>
      <c r="V78" s="35"/>
      <c r="W78" s="51"/>
      <c r="X78" s="35"/>
      <c r="Y78" s="1"/>
      <c r="Z78" s="1"/>
      <c r="AA78" s="1"/>
      <c r="AB78" s="56"/>
    </row>
    <row r="79" spans="1:28" x14ac:dyDescent="0.25">
      <c r="A79" s="6">
        <v>16</v>
      </c>
      <c r="B79" s="71">
        <f t="shared" si="0"/>
        <v>0</v>
      </c>
      <c r="C79" s="99"/>
      <c r="D79" s="20"/>
      <c r="E79" s="1"/>
      <c r="F79" s="1"/>
      <c r="G79" s="1"/>
      <c r="H79" s="1"/>
      <c r="I79" s="1"/>
      <c r="J79" s="1"/>
      <c r="K79" s="1"/>
      <c r="L79" s="1"/>
      <c r="M79" s="1"/>
      <c r="N79" s="1"/>
      <c r="O79" s="35"/>
      <c r="P79" s="35"/>
      <c r="Q79" s="35"/>
      <c r="R79" s="35"/>
      <c r="S79" s="35"/>
      <c r="T79" s="35"/>
      <c r="U79" s="35"/>
      <c r="V79" s="35"/>
      <c r="W79" s="51"/>
      <c r="X79" s="35"/>
      <c r="Y79" s="1"/>
      <c r="Z79" s="1"/>
      <c r="AA79" s="1"/>
      <c r="AB79" s="56"/>
    </row>
    <row r="80" spans="1:28" x14ac:dyDescent="0.25">
      <c r="A80" s="6">
        <v>17</v>
      </c>
      <c r="B80" s="71">
        <f t="shared" si="0"/>
        <v>0</v>
      </c>
      <c r="C80" s="99"/>
      <c r="D80" s="20"/>
      <c r="E80" s="1"/>
      <c r="F80" s="1"/>
      <c r="G80" s="1"/>
      <c r="H80" s="1"/>
      <c r="I80" s="1"/>
      <c r="J80" s="1"/>
      <c r="K80" s="1"/>
      <c r="L80" s="1"/>
      <c r="M80" s="1"/>
      <c r="N80" s="1"/>
      <c r="O80" s="35"/>
      <c r="P80" s="35"/>
      <c r="Q80" s="35"/>
      <c r="R80" s="35"/>
      <c r="S80" s="35"/>
      <c r="T80" s="35"/>
      <c r="U80" s="35"/>
      <c r="V80" s="35"/>
      <c r="W80" s="51"/>
      <c r="X80" s="35"/>
      <c r="Y80" s="1"/>
      <c r="Z80" s="1"/>
      <c r="AA80" s="1"/>
      <c r="AB80" s="56"/>
    </row>
    <row r="81" spans="1:28" x14ac:dyDescent="0.25">
      <c r="A81" s="6">
        <v>18</v>
      </c>
      <c r="B81" s="71">
        <f t="shared" si="0"/>
        <v>0</v>
      </c>
      <c r="C81" s="99"/>
      <c r="D81" s="20"/>
      <c r="E81" s="1"/>
      <c r="F81" s="1"/>
      <c r="G81" s="1"/>
      <c r="H81" s="1"/>
      <c r="I81" s="1"/>
      <c r="J81" s="1"/>
      <c r="K81" s="1"/>
      <c r="L81" s="1"/>
      <c r="M81" s="1"/>
      <c r="N81" s="1"/>
      <c r="O81" s="35"/>
      <c r="P81" s="35"/>
      <c r="Q81" s="35"/>
      <c r="R81" s="35"/>
      <c r="S81" s="35"/>
      <c r="T81" s="35"/>
      <c r="U81" s="35"/>
      <c r="V81" s="35"/>
      <c r="W81" s="51"/>
      <c r="X81" s="35"/>
      <c r="Y81" s="1"/>
      <c r="Z81" s="1"/>
      <c r="AA81" s="1"/>
      <c r="AB81" s="56"/>
    </row>
    <row r="82" spans="1:28" x14ac:dyDescent="0.25">
      <c r="A82" s="6">
        <v>19</v>
      </c>
      <c r="B82" s="71">
        <f t="shared" si="0"/>
        <v>0</v>
      </c>
      <c r="C82" s="99"/>
      <c r="D82" s="20"/>
      <c r="E82" s="1"/>
      <c r="F82" s="1"/>
      <c r="G82" s="1"/>
      <c r="H82" s="1"/>
      <c r="I82" s="1"/>
      <c r="J82" s="1"/>
      <c r="K82" s="1"/>
      <c r="L82" s="1"/>
      <c r="M82" s="1"/>
      <c r="N82" s="1"/>
      <c r="O82" s="35"/>
      <c r="P82" s="35"/>
      <c r="Q82" s="35"/>
      <c r="R82" s="35"/>
      <c r="S82" s="35"/>
      <c r="T82" s="35"/>
      <c r="U82" s="35"/>
      <c r="V82" s="35"/>
      <c r="W82" s="51"/>
      <c r="X82" s="35"/>
      <c r="Y82" s="1"/>
      <c r="Z82" s="1"/>
      <c r="AA82" s="1"/>
      <c r="AB82" s="56"/>
    </row>
    <row r="83" spans="1:28" ht="15.75" thickBot="1" x14ac:dyDescent="0.3">
      <c r="A83" s="7">
        <v>20</v>
      </c>
      <c r="B83" s="71">
        <f t="shared" si="0"/>
        <v>0</v>
      </c>
      <c r="C83" s="99"/>
      <c r="D83" s="21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8"/>
      <c r="P83" s="38"/>
      <c r="Q83" s="38"/>
      <c r="R83" s="38"/>
      <c r="S83" s="38"/>
      <c r="T83" s="38"/>
      <c r="U83" s="38"/>
      <c r="V83" s="38"/>
      <c r="W83" s="52"/>
      <c r="X83" s="38"/>
      <c r="Y83" s="37"/>
      <c r="Z83" s="37"/>
      <c r="AA83" s="37"/>
      <c r="AB83" s="57"/>
    </row>
    <row r="84" spans="1:28" ht="15.75" thickBot="1" x14ac:dyDescent="0.3">
      <c r="O84" s="34"/>
      <c r="P84" s="34"/>
      <c r="Q84" s="34"/>
      <c r="R84" s="34"/>
      <c r="S84" s="34"/>
      <c r="T84" s="34"/>
      <c r="U84" s="34"/>
      <c r="V84" s="34"/>
      <c r="W84" s="34"/>
      <c r="X84" s="34"/>
    </row>
    <row r="85" spans="1:28" ht="15.75" thickBot="1" x14ac:dyDescent="0.3">
      <c r="B85" s="91" t="s">
        <v>51</v>
      </c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3"/>
      <c r="O85" s="34"/>
      <c r="P85" s="34"/>
      <c r="Q85" s="34"/>
      <c r="R85" s="34"/>
      <c r="S85" s="34"/>
      <c r="T85" s="34"/>
      <c r="U85" s="34"/>
      <c r="V85" s="34"/>
      <c r="W85" s="34"/>
      <c r="X85" s="34"/>
    </row>
    <row r="86" spans="1:28" ht="15.75" customHeight="1" x14ac:dyDescent="0.25">
      <c r="B86" s="104" t="s">
        <v>55</v>
      </c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6"/>
      <c r="O86" s="34"/>
      <c r="P86" s="34"/>
      <c r="Q86" s="34"/>
      <c r="R86" s="34"/>
      <c r="S86" s="34"/>
      <c r="T86" s="34"/>
      <c r="U86" s="34"/>
      <c r="V86" s="34"/>
      <c r="W86" s="34"/>
      <c r="X86" s="34"/>
    </row>
    <row r="87" spans="1:28" x14ac:dyDescent="0.25">
      <c r="B87" s="107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9"/>
      <c r="O87" s="34"/>
      <c r="P87" s="34"/>
      <c r="Q87" s="34"/>
      <c r="R87" s="34"/>
      <c r="S87" s="34"/>
      <c r="T87" s="34"/>
      <c r="U87" s="34"/>
      <c r="V87" s="34"/>
      <c r="W87" s="34"/>
      <c r="X87" s="34"/>
    </row>
    <row r="88" spans="1:28" x14ac:dyDescent="0.25">
      <c r="B88" s="107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9"/>
      <c r="O88" s="34"/>
      <c r="P88" s="34"/>
      <c r="Q88" s="34"/>
      <c r="R88" s="34"/>
      <c r="S88" s="34"/>
      <c r="T88" s="34"/>
      <c r="U88" s="34"/>
      <c r="V88" s="34"/>
      <c r="W88" s="34"/>
      <c r="X88" s="34"/>
    </row>
    <row r="89" spans="1:28" x14ac:dyDescent="0.25">
      <c r="B89" s="107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9"/>
      <c r="O89" s="34"/>
      <c r="P89" s="34"/>
      <c r="Q89" s="34"/>
      <c r="R89" s="34"/>
      <c r="S89" s="34"/>
      <c r="T89" s="34"/>
      <c r="U89" s="34"/>
      <c r="V89" s="34"/>
      <c r="W89" s="34"/>
      <c r="X89" s="34"/>
    </row>
    <row r="90" spans="1:28" x14ac:dyDescent="0.25">
      <c r="B90" s="107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9"/>
      <c r="O90" s="34"/>
      <c r="P90" s="34"/>
      <c r="Q90" s="34"/>
      <c r="R90" s="34"/>
      <c r="S90" s="34"/>
      <c r="T90" s="34"/>
      <c r="U90" s="34"/>
      <c r="V90" s="34"/>
      <c r="W90" s="34"/>
      <c r="X90" s="34"/>
    </row>
    <row r="91" spans="1:28" x14ac:dyDescent="0.25">
      <c r="B91" s="107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9"/>
      <c r="O91" s="34"/>
      <c r="P91" s="34"/>
      <c r="Q91" s="34"/>
      <c r="R91" s="34"/>
      <c r="S91" s="34"/>
      <c r="T91" s="34"/>
      <c r="U91" s="34"/>
      <c r="V91" s="34"/>
      <c r="W91" s="34"/>
      <c r="X91" s="34"/>
    </row>
    <row r="92" spans="1:28" x14ac:dyDescent="0.25">
      <c r="B92" s="107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9"/>
      <c r="O92" s="34"/>
      <c r="P92" s="34"/>
      <c r="Q92" s="34"/>
      <c r="R92" s="34"/>
      <c r="S92" s="34"/>
      <c r="T92" s="34"/>
      <c r="U92" s="34"/>
      <c r="V92" s="34"/>
      <c r="W92" s="34"/>
      <c r="X92" s="34"/>
    </row>
    <row r="93" spans="1:28" x14ac:dyDescent="0.25">
      <c r="B93" s="107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9"/>
      <c r="O93" s="34"/>
      <c r="P93" s="34"/>
      <c r="Q93" s="34"/>
      <c r="R93" s="34"/>
      <c r="S93" s="34"/>
      <c r="T93" s="34"/>
      <c r="U93" s="34"/>
      <c r="V93" s="34"/>
      <c r="W93" s="34"/>
      <c r="X93" s="34"/>
    </row>
    <row r="94" spans="1:28" x14ac:dyDescent="0.25">
      <c r="B94" s="107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9"/>
      <c r="O94" s="34"/>
      <c r="P94" s="34"/>
      <c r="Q94" s="34"/>
      <c r="R94" s="34"/>
      <c r="S94" s="34"/>
      <c r="T94" s="34"/>
      <c r="U94" s="34"/>
      <c r="V94" s="34"/>
      <c r="W94" s="34"/>
      <c r="X94" s="34"/>
    </row>
    <row r="95" spans="1:28" x14ac:dyDescent="0.25">
      <c r="B95" s="107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9"/>
      <c r="O95" s="34"/>
      <c r="P95" s="34"/>
      <c r="Q95" s="34"/>
      <c r="R95" s="34"/>
      <c r="S95" s="34"/>
      <c r="T95" s="34"/>
      <c r="U95" s="34"/>
      <c r="V95" s="34"/>
      <c r="W95" s="34"/>
      <c r="X95" s="34"/>
    </row>
    <row r="96" spans="1:28" x14ac:dyDescent="0.25">
      <c r="B96" s="107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9"/>
      <c r="O96" s="34"/>
      <c r="P96" s="34"/>
      <c r="Q96" s="34"/>
      <c r="R96" s="34"/>
      <c r="S96" s="34"/>
      <c r="T96" s="34"/>
      <c r="U96" s="34"/>
      <c r="V96" s="34"/>
      <c r="W96" s="34"/>
      <c r="X96" s="34"/>
    </row>
    <row r="97" spans="2:24" x14ac:dyDescent="0.25">
      <c r="B97" s="107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9"/>
      <c r="O97" s="34"/>
      <c r="P97" s="34"/>
      <c r="Q97" s="34"/>
      <c r="R97" s="34"/>
      <c r="S97" s="34"/>
      <c r="T97" s="34"/>
      <c r="U97" s="34"/>
      <c r="V97" s="34"/>
      <c r="W97" s="34"/>
      <c r="X97" s="34"/>
    </row>
    <row r="98" spans="2:24" x14ac:dyDescent="0.25">
      <c r="B98" s="107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9"/>
      <c r="O98" s="34"/>
      <c r="P98" s="34"/>
      <c r="Q98" s="34"/>
      <c r="R98" s="34"/>
      <c r="S98" s="34"/>
      <c r="T98" s="34"/>
      <c r="U98" s="34"/>
      <c r="V98" s="34"/>
      <c r="W98" s="34"/>
      <c r="X98" s="34"/>
    </row>
    <row r="99" spans="2:24" x14ac:dyDescent="0.25">
      <c r="B99" s="107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9"/>
      <c r="O99" s="34"/>
      <c r="P99" s="34"/>
      <c r="Q99" s="34"/>
      <c r="R99" s="34"/>
      <c r="S99" s="34"/>
      <c r="T99" s="34"/>
      <c r="U99" s="34"/>
      <c r="V99" s="34"/>
      <c r="W99" s="34"/>
      <c r="X99" s="34"/>
    </row>
    <row r="100" spans="2:24" x14ac:dyDescent="0.25">
      <c r="B100" s="107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9"/>
    </row>
    <row r="101" spans="2:24" x14ac:dyDescent="0.25">
      <c r="B101" s="107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9"/>
    </row>
    <row r="102" spans="2:24" x14ac:dyDescent="0.25">
      <c r="B102" s="107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9"/>
    </row>
    <row r="103" spans="2:24" x14ac:dyDescent="0.25">
      <c r="B103" s="107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9"/>
    </row>
    <row r="104" spans="2:24" x14ac:dyDescent="0.25">
      <c r="B104" s="107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9"/>
    </row>
    <row r="105" spans="2:24" x14ac:dyDescent="0.25">
      <c r="B105" s="107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9"/>
    </row>
    <row r="106" spans="2:24" x14ac:dyDescent="0.25">
      <c r="B106" s="107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9"/>
    </row>
    <row r="107" spans="2:24" x14ac:dyDescent="0.25">
      <c r="B107" s="107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9"/>
    </row>
    <row r="108" spans="2:24" x14ac:dyDescent="0.25">
      <c r="B108" s="107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9"/>
    </row>
    <row r="109" spans="2:24" x14ac:dyDescent="0.25">
      <c r="B109" s="107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9"/>
    </row>
    <row r="110" spans="2:24" x14ac:dyDescent="0.25">
      <c r="B110" s="107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9"/>
    </row>
    <row r="111" spans="2:24" x14ac:dyDescent="0.25">
      <c r="B111" s="107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9"/>
    </row>
    <row r="112" spans="2:24" x14ac:dyDescent="0.25">
      <c r="B112" s="107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9"/>
    </row>
    <row r="113" spans="2:13" x14ac:dyDescent="0.25">
      <c r="B113" s="107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9"/>
    </row>
    <row r="114" spans="2:13" x14ac:dyDescent="0.25">
      <c r="B114" s="107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9"/>
    </row>
    <row r="115" spans="2:13" ht="15.75" thickBot="1" x14ac:dyDescent="0.3">
      <c r="B115" s="110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2"/>
    </row>
  </sheetData>
  <dataConsolidate/>
  <mergeCells count="79">
    <mergeCell ref="B85:M85"/>
    <mergeCell ref="B86:M115"/>
    <mergeCell ref="D62:AB62"/>
    <mergeCell ref="B82:C82"/>
    <mergeCell ref="B83:C83"/>
    <mergeCell ref="B62:C63"/>
    <mergeCell ref="B81:C81"/>
    <mergeCell ref="A62:A63"/>
    <mergeCell ref="B77:C77"/>
    <mergeCell ref="B78:C78"/>
    <mergeCell ref="B79:C79"/>
    <mergeCell ref="B80:C80"/>
    <mergeCell ref="B72:C72"/>
    <mergeCell ref="B73:C73"/>
    <mergeCell ref="B74:C74"/>
    <mergeCell ref="B75:C75"/>
    <mergeCell ref="B76:C76"/>
    <mergeCell ref="B67:C67"/>
    <mergeCell ref="B68:C68"/>
    <mergeCell ref="B69:C69"/>
    <mergeCell ref="B70:C70"/>
    <mergeCell ref="B71:C71"/>
    <mergeCell ref="D60:E60"/>
    <mergeCell ref="B64:C64"/>
    <mergeCell ref="B65:C65"/>
    <mergeCell ref="B66:C66"/>
    <mergeCell ref="D55:E55"/>
    <mergeCell ref="D56:E56"/>
    <mergeCell ref="D58:E58"/>
    <mergeCell ref="D57:E57"/>
    <mergeCell ref="D59:E59"/>
    <mergeCell ref="D50:E50"/>
    <mergeCell ref="D51:E51"/>
    <mergeCell ref="D52:E52"/>
    <mergeCell ref="D53:E53"/>
    <mergeCell ref="D54:E54"/>
    <mergeCell ref="D46:E46"/>
    <mergeCell ref="D47:E47"/>
    <mergeCell ref="D48:E48"/>
    <mergeCell ref="D49:E49"/>
    <mergeCell ref="B8:C8"/>
    <mergeCell ref="B9:C9"/>
    <mergeCell ref="B10:C10"/>
    <mergeCell ref="B11:C11"/>
    <mergeCell ref="B12:C12"/>
    <mergeCell ref="B13:C13"/>
    <mergeCell ref="B15:C15"/>
    <mergeCell ref="B16:C16"/>
    <mergeCell ref="B17:C17"/>
    <mergeCell ref="B18:C18"/>
    <mergeCell ref="D41:E41"/>
    <mergeCell ref="B19:C19"/>
    <mergeCell ref="D45:E45"/>
    <mergeCell ref="J1:N1"/>
    <mergeCell ref="B1:G1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B20:C20"/>
    <mergeCell ref="B21:C21"/>
    <mergeCell ref="B22:C22"/>
    <mergeCell ref="D40:E40"/>
    <mergeCell ref="B14:C14"/>
    <mergeCell ref="D42:E42"/>
    <mergeCell ref="D43:E43"/>
    <mergeCell ref="D44:E44"/>
    <mergeCell ref="B23:C23"/>
    <mergeCell ref="B24:C24"/>
    <mergeCell ref="B25:C25"/>
    <mergeCell ref="B26:C26"/>
    <mergeCell ref="B27:C27"/>
    <mergeCell ref="B28:C28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BF66B2BD9C444B9758AA2B4DF52BB6" ma:contentTypeVersion="5" ma:contentTypeDescription="Create a new document." ma:contentTypeScope="" ma:versionID="0c0d5a3da832c76b7a0a88627e5ce398">
  <xsd:schema xmlns:xsd="http://www.w3.org/2001/XMLSchema" xmlns:xs="http://www.w3.org/2001/XMLSchema" xmlns:p="http://schemas.microsoft.com/office/2006/metadata/properties" xmlns:ns3="3ffb0890-64cb-4cde-8fa2-50c985222295" targetNamespace="http://schemas.microsoft.com/office/2006/metadata/properties" ma:root="true" ma:fieldsID="253c4625fa758ccd0781261960a4bb8d" ns3:_="">
    <xsd:import namespace="3ffb0890-64cb-4cde-8fa2-50c98522229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fb0890-64cb-4cde-8fa2-50c98522229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6879C7-BBF3-443C-A3D7-C4934FF3C0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fb0890-64cb-4cde-8fa2-50c9852222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EC2348-33A2-4879-9146-88F857770B74}">
  <ds:schemaRefs>
    <ds:schemaRef ds:uri="http://purl.org/dc/elements/1.1/"/>
    <ds:schemaRef ds:uri="http://schemas.microsoft.com/office/2006/metadata/properties"/>
    <ds:schemaRef ds:uri="3ffb0890-64cb-4cde-8fa2-50c98522229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FE73406-9CB6-4716-A1C8-F76C075CA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Sanga</dc:creator>
  <cp:lastModifiedBy>Jay Sanga</cp:lastModifiedBy>
  <dcterms:created xsi:type="dcterms:W3CDTF">2024-10-05T17:01:25Z</dcterms:created>
  <dcterms:modified xsi:type="dcterms:W3CDTF">2025-01-06T12:10:16Z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0x010100F4BF66B2BD9C444B9758AA2B4DF52BB6</vt:lpwstr>
  </property>
</Properties>
</file>